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codeName="ThisWorkbook"/>
  <mc:AlternateContent xmlns:mc="http://schemas.openxmlformats.org/markup-compatibility/2006">
    <mc:Choice Requires="x15">
      <x15ac:absPath xmlns:x15ac="http://schemas.microsoft.com/office/spreadsheetml/2010/11/ac" url="C:\Users\diala\Documents\CyberSecuirty\"/>
    </mc:Choice>
  </mc:AlternateContent>
  <xr:revisionPtr revIDLastSave="0" documentId="13_ncr:1_{05833AC3-AE62-4A58-9C7A-2A4011907C69}" xr6:coauthVersionLast="47" xr6:coauthVersionMax="47" xr10:uidLastSave="{00000000-0000-0000-0000-000000000000}"/>
  <bookViews>
    <workbookView xWindow="19090" yWindow="-710" windowWidth="19420" windowHeight="11500" tabRatio="500" activeTab="3" xr2:uid="{00000000-000D-0000-FFFF-FFFF00000000}"/>
  </bookViews>
  <sheets>
    <sheet name="0 Manual" sheetId="7" r:id="rId1"/>
    <sheet name="Studentdata" sheetId="9" r:id="rId2"/>
    <sheet name="Risknivåer" sheetId="8" r:id="rId3"/>
    <sheet name="Riskregister" sheetId="1" r:id="rId4"/>
    <sheet name="Data" sheetId="3" r:id="rId5"/>
  </sheet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7" i="1" l="1"/>
  <c r="J7" i="1"/>
  <c r="K7" i="1"/>
  <c r="H8" i="1"/>
  <c r="J8" i="1"/>
  <c r="K8" i="1"/>
  <c r="H9" i="1"/>
  <c r="J9" i="1"/>
  <c r="K9" i="1"/>
  <c r="H10" i="1"/>
  <c r="J10" i="1"/>
  <c r="K10" i="1"/>
  <c r="H11" i="1"/>
  <c r="J11" i="1"/>
  <c r="K11" i="1"/>
  <c r="H12" i="1"/>
  <c r="J12" i="1"/>
  <c r="K12" i="1"/>
  <c r="H6" i="1"/>
  <c r="J6" i="1"/>
  <c r="K6"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13" i="1"/>
</calcChain>
</file>

<file path=xl/sharedStrings.xml><?xml version="1.0" encoding="utf-8"?>
<sst xmlns="http://schemas.openxmlformats.org/spreadsheetml/2006/main" count="154" uniqueCount="142">
  <si>
    <t>Detta ark används av Excel för att hämta uppgifter som används i de andra kalkylarken. Normalt sett behöver ni inte ändra här.</t>
  </si>
  <si>
    <t>ID</t>
  </si>
  <si>
    <t>Risk-001</t>
  </si>
  <si>
    <t>Risk-002</t>
  </si>
  <si>
    <t>Risk-003</t>
  </si>
  <si>
    <t>Risk-004</t>
  </si>
  <si>
    <t>Risk-005</t>
  </si>
  <si>
    <t>Risk-006</t>
  </si>
  <si>
    <t>Risk-007</t>
  </si>
  <si>
    <t>Risk-008</t>
  </si>
  <si>
    <t>Sannolikhet</t>
  </si>
  <si>
    <t>Konsekvens</t>
  </si>
  <si>
    <t>Låg</t>
  </si>
  <si>
    <t>Allvarlig</t>
  </si>
  <si>
    <t>Kommentar</t>
  </si>
  <si>
    <t>Analys Risk - Riskregister</t>
  </si>
  <si>
    <t>Konsekvensbeskrivning</t>
  </si>
  <si>
    <t>Mycket hög</t>
  </si>
  <si>
    <t>Hög</t>
  </si>
  <si>
    <t>Medelhög</t>
  </si>
  <si>
    <t>Betydande</t>
  </si>
  <si>
    <t>Orsaksbeskrivning</t>
  </si>
  <si>
    <t>Riskmatris</t>
  </si>
  <si>
    <t>Risknivåer</t>
  </si>
  <si>
    <t>Måttlig</t>
  </si>
  <si>
    <t>Försumbar</t>
  </si>
  <si>
    <t>Ekonomisk förlust</t>
  </si>
  <si>
    <t>Minskat förtroende</t>
  </si>
  <si>
    <t>Avbrott i verksamheten</t>
  </si>
  <si>
    <t>Risknivå</t>
  </si>
  <si>
    <t xml:space="preserve">Betydande </t>
  </si>
  <si>
    <t>Konsekvensnivåer</t>
  </si>
  <si>
    <t>Sannolikhetsnivåer</t>
  </si>
  <si>
    <t>Värde S 1-4</t>
  </si>
  <si>
    <t>Värde K 1-4</t>
  </si>
  <si>
    <t>Sannolikhetsnivå</t>
  </si>
  <si>
    <t>Konsekvensnivå</t>
  </si>
  <si>
    <t>Tillgång</t>
  </si>
  <si>
    <t>Riskscenario</t>
  </si>
  <si>
    <t>Egenskap (CIA/STRIDE)</t>
  </si>
  <si>
    <t>LiU-ID</t>
  </si>
  <si>
    <t>Namn</t>
  </si>
  <si>
    <t>Bristande regelefterlevnad</t>
  </si>
  <si>
    <t>Diala Badra</t>
  </si>
  <si>
    <t>diaba644</t>
  </si>
  <si>
    <t xml:space="preserve"> &gt; 10 ggr/år</t>
  </si>
  <si>
    <t xml:space="preserve"> &lt; 1 ggr/år</t>
  </si>
  <si>
    <t>Databas</t>
  </si>
  <si>
    <t>Kund info kan avslöjas eller ändras vilket kan orsaka förlorat förtoende, ekonomisk förlust och efterlevnad överträdelse.</t>
  </si>
  <si>
    <t>Kundhantering</t>
  </si>
  <si>
    <t>Systemadminstratör</t>
  </si>
  <si>
    <t>Fakturasystem</t>
  </si>
  <si>
    <t>Molntjänst</t>
  </si>
  <si>
    <t>Externatjänsten(Skattverket)</t>
  </si>
  <si>
    <t>Tampering, infomration disclouser</t>
  </si>
  <si>
    <t>Spoofing, information disclouser</t>
  </si>
  <si>
    <t>Spoofing, Elevation of Privilege</t>
  </si>
  <si>
    <t>Tampering</t>
  </si>
  <si>
    <t>Information disclosure</t>
  </si>
  <si>
    <t>Tampering, Data intergrity</t>
  </si>
  <si>
    <t>Data intergirty, availability</t>
  </si>
  <si>
    <t>en angripare får obhörig åtkomst till databasen och läser eller ändrar kund info</t>
  </si>
  <si>
    <t xml:space="preserve">Databas behörigheter kan vara för breda eller autenstiseringen otillräcklig. </t>
  </si>
  <si>
    <t>En amgripare tar över en användares konto och får åtkomst till kund info</t>
  </si>
  <si>
    <t>Användaren luras genom närfiske att lämna ur sina inloggningsuppgifter eller använda en falsk inloggningssida</t>
  </si>
  <si>
    <t>Kund uppgifter kan exponeras, missbrukas eller spridas vidarem vilket kan leda till minskat kund förtoende och ekonomiska förluster</t>
  </si>
  <si>
    <t>En angripare tar över administratörskontot och ändrar systembehörighet eller konfiguariton</t>
  </si>
  <si>
    <t>Angriparen utnyttjar exemplevis: stulna inloggningsuppgifter,  sårbarheter eller felkonfigurationer</t>
  </si>
  <si>
    <t>Angripperane får kontroll över flera systemkomponenter, komma åt känsliga info och störa eller förändra systemets funktion</t>
  </si>
  <si>
    <t xml:space="preserve">En obehöriga person ändrar fakturabelopp eller betalningsuppgifter </t>
  </si>
  <si>
    <t>Otillräcklig behörighetskontroller eller bristande validering gör det möjlig att ändra fakturauppgifter utan tillstånd</t>
  </si>
  <si>
    <t>Felaktiga betalningar, ekonomiska förluster, tvister och minskat förtroende hos kunder</t>
  </si>
  <si>
    <t>En angripare avlyssnar kund info som överförs mellan enheten och molntjänsten</t>
  </si>
  <si>
    <t>info överförs via en otillräckligt skyddad anslutning eller utan tillräckligt kryptering</t>
  </si>
  <si>
    <t xml:space="preserve">Personuppgifter kan exponeras, vilket kan leda till intergritetsintrång, minskat förtroende och eventuella regelöverträdelse </t>
  </si>
  <si>
    <t>Fekaktig kund info som överförs till externa tjänsten (Skattverket)</t>
  </si>
  <si>
    <t xml:space="preserve">uppgifterna valideras inte tillräckligt före överförningen, eller så har informationen ändrats felaktigt i ett tidigare process. </t>
  </si>
  <si>
    <t>Felaktiga uppgifter kan leda till gelaktig handläggning, behov av rättelse, förseningar och eventuella efterlevnadsproblem</t>
  </si>
  <si>
    <t>Tekniska fel, nätverkavbrott eller bristande felhantering kan göra att uppgifter saknas, dupliveras eller blir icke aktuella</t>
  </si>
  <si>
    <t xml:space="preserve">Fakturor kan baseras på felaktiga kunduppgifter, fakturering kan försenas och manuellt korrigering krävs </t>
  </si>
  <si>
    <t>Risk-09</t>
  </si>
  <si>
    <t>Risk-10</t>
  </si>
  <si>
    <t>Risk-11</t>
  </si>
  <si>
    <t>Risk-12</t>
  </si>
  <si>
    <t>Risk-13</t>
  </si>
  <si>
    <t>Risk-14</t>
  </si>
  <si>
    <t>Risk-15</t>
  </si>
  <si>
    <t>Risk-16</t>
  </si>
  <si>
    <t>Risk-17</t>
  </si>
  <si>
    <t>Risk-18</t>
  </si>
  <si>
    <t>Risk-19</t>
  </si>
  <si>
    <t>Risk-20</t>
  </si>
  <si>
    <t>Risk-21</t>
  </si>
  <si>
    <t>Risk-22</t>
  </si>
  <si>
    <t>Risk-23</t>
  </si>
  <si>
    <t>Risk-24</t>
  </si>
  <si>
    <t>Risk-25</t>
  </si>
  <si>
    <t>Risk-26</t>
  </si>
  <si>
    <t>Risk-27</t>
  </si>
  <si>
    <t>Risk-28</t>
  </si>
  <si>
    <t>Risk-29</t>
  </si>
  <si>
    <t>Risk-30</t>
  </si>
  <si>
    <t>Risk-31</t>
  </si>
  <si>
    <t>Risk-32</t>
  </si>
  <si>
    <t>Risk-33</t>
  </si>
  <si>
    <t>Risk-34</t>
  </si>
  <si>
    <t>Risk-35</t>
  </si>
  <si>
    <t>Risk-36</t>
  </si>
  <si>
    <t>Risk-37</t>
  </si>
  <si>
    <t>Risk-38</t>
  </si>
  <si>
    <t>Risk-39</t>
  </si>
  <si>
    <t>Risk-40</t>
  </si>
  <si>
    <t>Risk-41</t>
  </si>
  <si>
    <t>Risk-42</t>
  </si>
  <si>
    <t>Risk-43</t>
  </si>
  <si>
    <t>Risk-44</t>
  </si>
  <si>
    <t>Risk-45</t>
  </si>
  <si>
    <t>Risk-46</t>
  </si>
  <si>
    <t>Risk-47</t>
  </si>
  <si>
    <t>Avability, Denial of service</t>
  </si>
  <si>
    <t>En angripare gör kundhanteringssystem  otillgängligt genom att överbelasta det med förfrågningar</t>
  </si>
  <si>
    <t>Systemet kan sakna tillräckligt skydd mot stora mängder förfrågningar eller ha begränsade resurser för att hantera belastningstoppar</t>
  </si>
  <si>
    <t>Synkroniseringsfel mellan kundhanteringssystemet och fakturasystemet som misslyckas eller överför felaktiga data</t>
  </si>
  <si>
    <t xml:space="preserve">Anställda kan inte komma åt eller uppdatera kunduppgifter, vilket kan leda till avbrott i verksamhet, försenad fakturering och minskat kundföretroende </t>
  </si>
  <si>
    <t xml:space="preserve">Förlust på &lt; 500 000 kr </t>
  </si>
  <si>
    <t xml:space="preserve">Inget förlust eller försumbar </t>
  </si>
  <si>
    <t xml:space="preserve"> 5 - 1 ggr/år</t>
  </si>
  <si>
    <t xml:space="preserve"> 10 - 5 ggr/år</t>
  </si>
  <si>
    <t xml:space="preserve">Förlust på 1 miljon - 500 000 kr </t>
  </si>
  <si>
    <t xml:space="preserve">Förlust på &gt; 1 miljon kr </t>
  </si>
  <si>
    <t>Omfattande exponering av kunduppgifter eller en allvarlig incident som orsakar stort och långvarigt fötrpendetapp</t>
  </si>
  <si>
    <t>Kundhantering eller fakturering ligger nere under en längre tid och kritiska verksamhetsprocesser stoppas</t>
  </si>
  <si>
    <t>Känsliga kunduppgifter exponeras eller en incident leder till tydligt minskat förtroende bland flera kunder</t>
  </si>
  <si>
    <t>En begränsad incident orsakar klagomål från vissa kunder eller tillfälligt minskat förtroende</t>
  </si>
  <si>
    <t>Mycket begränsad påverkan på kundernas förtroende</t>
  </si>
  <si>
    <t>Kritisk funktion, exempelvis: fakturering eller kundhantering, är otillgänglig  längre än verksamhet kan accpetra</t>
  </si>
  <si>
    <t>Enstaka funktioner påverkas och arbetet färsemas, men verksamheten kan fortsätta med tillfälliga lösningar</t>
  </si>
  <si>
    <t>Kortvariga störningar utan märkbar påverkan på verksamheten i större del</t>
  </si>
  <si>
    <t xml:space="preserve">Övträdelser som påverkar flera kunder eller innebär brister i hanteringen av personuppgifter, risk för mydnighetsgrandskning </t>
  </si>
  <si>
    <t>omfattande övträdelser av lagar eller regler exempelvis: storskaliga exponering av personuppgifter. Leder till avgifter och rättsliga konsekvenser</t>
  </si>
  <si>
    <t xml:space="preserve">Begränsade överträdelser, ex: felaktig hantering eller lagring av kunduppgifter, som rättelser och kan leda till klagomål </t>
  </si>
  <si>
    <t>Mindre avvikelser från interna procuderer eller admin krav som snabbt korrigeras och inte särsklit medför något rättslig eller ekonomisk påverkan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</si>
</sst>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font>
      <sz val="12"/>
      <color theme="1"/>
      <name val="Calibri"/>
      <family val="2"/>
      <scheme val="minor"/>
    </font>
    <font>
      <sz val="14"/>
      <color theme="1"/>
      <name val="Calibri"/>
      <family val="2"/>
      <scheme val="minor"/>
    </font>
    <font>
      <b/>
      <sz val="14"/>
      <color theme="1"/>
      <name val="Calibri"/>
      <family val="2"/>
      <scheme val="minor"/>
    </font>
    <font>
      <u/>
      <sz val="12"/>
      <color theme="10"/>
      <name val="Calibri"/>
      <family val="2"/>
      <scheme val="minor"/>
    </font>
    <font>
      <u/>
      <sz val="12"/>
      <color theme="11"/>
      <name val="Calibri"/>
      <family val="2"/>
      <scheme val="minor"/>
    </font>
    <font>
      <sz val="16"/>
      <color theme="1"/>
      <name val="Calibri"/>
      <family val="2"/>
      <scheme val="minor"/>
    </font>
    <font>
      <sz val="12"/>
      <color theme="0"/>
      <name val="Calibri"/>
      <family val="2"/>
      <scheme val="minor"/>
    </font>
    <font>
      <sz val="26"/>
      <color theme="1"/>
      <name val="Calibri"/>
      <family val="2"/>
      <scheme val="minor"/>
    </font>
    <font>
      <i/>
      <sz val="10"/>
      <color theme="1"/>
      <name val="Calibri (Brödtext)"/>
    </font>
    <font>
      <sz val="14"/>
      <color theme="1"/>
      <name val="Calibri"/>
      <family val="2"/>
    </font>
    <font>
      <i/>
      <sz val="10"/>
      <color theme="1"/>
      <name val="Calibri"/>
      <family val="2"/>
      <scheme val="minor"/>
    </font>
    <font>
      <sz val="12"/>
      <color theme="1"/>
      <name val="Calibri"/>
      <family val="2"/>
      <scheme val="minor"/>
    </font>
    <font>
      <b/>
      <sz val="12"/>
      <color theme="1"/>
      <name val="Calibri"/>
      <family val="2"/>
      <scheme val="minor"/>
    </font>
    <font>
      <sz val="8"/>
      <name val="Calibri"/>
      <family val="2"/>
      <scheme val="minor"/>
    </font>
  </fonts>
  <fills count="13">
    <fill>
      <patternFill patternType="none"/>
    </fill>
    <fill>
      <patternFill patternType="gray125"/>
    </fill>
    <fill>
      <patternFill patternType="solid">
        <fgColor theme="7" tint="0.39997558519241921"/>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theme="5"/>
        <bgColor indexed="64"/>
      </patternFill>
    </fill>
    <fill>
      <patternFill patternType="solid">
        <fgColor rgb="FFFFC000"/>
        <bgColor indexed="64"/>
      </patternFill>
    </fill>
    <fill>
      <patternFill patternType="solid">
        <fgColor rgb="FFFF0000"/>
        <bgColor indexed="64"/>
      </patternFill>
    </fill>
    <fill>
      <patternFill patternType="solid">
        <fgColor theme="7"/>
        <bgColor indexed="64"/>
      </patternFill>
    </fill>
    <fill>
      <patternFill patternType="solid">
        <fgColor rgb="FFC00000"/>
        <bgColor indexed="64"/>
      </patternFill>
    </fill>
    <fill>
      <patternFill patternType="solid">
        <fgColor theme="4"/>
        <bgColor indexed="64"/>
      </patternFill>
    </fill>
    <fill>
      <patternFill patternType="solid">
        <fgColor theme="4" tint="0.79998168889431442"/>
        <bgColor indexed="64"/>
      </patternFill>
    </fill>
    <fill>
      <patternFill patternType="solid">
        <fgColor theme="4" tint="0.79998168889431442"/>
        <bgColor indexed="65"/>
      </patternFill>
    </fill>
  </fills>
  <borders count="6">
    <border>
      <left/>
      <right/>
      <top/>
      <bottom/>
      <diagonal/>
    </border>
    <border>
      <left style="thin">
        <color indexed="64"/>
      </left>
      <right style="thin">
        <color indexed="64"/>
      </right>
      <top style="thin">
        <color indexed="64"/>
      </top>
      <bottom style="thin">
        <color indexed="64"/>
      </bottom>
      <diagonal/>
    </border>
    <border>
      <left style="medium">
        <color theme="0"/>
      </left>
      <right/>
      <top/>
      <bottom style="medium">
        <color theme="0"/>
      </bottom>
      <diagonal/>
    </border>
    <border>
      <left/>
      <right style="medium">
        <color theme="0"/>
      </right>
      <top/>
      <bottom style="medium">
        <color theme="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11" fillId="12" borderId="0" applyNumberFormat="0" applyBorder="0" applyAlignment="0" applyProtection="0"/>
  </cellStyleXfs>
  <cellXfs count="51">
    <xf numFmtId="0" fontId="0" fillId="0" borderId="0" xfId="0"/>
    <xf numFmtId="0" fontId="1" fillId="0" borderId="0" xfId="0" applyFont="1"/>
    <xf numFmtId="0" fontId="2" fillId="0" borderId="0" xfId="0" applyFont="1"/>
    <xf numFmtId="14" fontId="1" fillId="0" borderId="0" xfId="0" applyNumberFormat="1" applyFont="1"/>
    <xf numFmtId="49" fontId="1" fillId="0" borderId="0" xfId="0" applyNumberFormat="1" applyFont="1" applyAlignment="1">
      <alignment horizontal="left" vertical="top" wrapText="1"/>
    </xf>
    <xf numFmtId="0" fontId="1" fillId="0" borderId="0" xfId="0" applyFont="1" applyAlignment="1">
      <alignment horizontal="left" vertical="top"/>
    </xf>
    <xf numFmtId="49" fontId="5" fillId="0" borderId="0" xfId="0" applyNumberFormat="1" applyFont="1" applyAlignment="1">
      <alignment horizontal="left" vertical="top" wrapText="1"/>
    </xf>
    <xf numFmtId="1" fontId="1" fillId="0" borderId="0" xfId="0" applyNumberFormat="1" applyFont="1" applyAlignment="1">
      <alignment horizontal="left" vertical="top"/>
    </xf>
    <xf numFmtId="49" fontId="7" fillId="0" borderId="0" xfId="0" applyNumberFormat="1" applyFont="1" applyAlignment="1">
      <alignment horizontal="left" vertical="top"/>
    </xf>
    <xf numFmtId="0" fontId="0" fillId="3" borderId="1" xfId="0" applyFill="1" applyBorder="1"/>
    <xf numFmtId="0" fontId="0" fillId="2" borderId="1" xfId="0" applyFill="1" applyBorder="1"/>
    <xf numFmtId="0" fontId="0" fillId="4" borderId="1" xfId="0" applyFill="1" applyBorder="1"/>
    <xf numFmtId="0" fontId="0" fillId="6" borderId="1" xfId="0" applyFill="1" applyBorder="1"/>
    <xf numFmtId="0" fontId="6" fillId="9" borderId="1" xfId="0" applyFont="1" applyFill="1" applyBorder="1"/>
    <xf numFmtId="0" fontId="6" fillId="7" borderId="1" xfId="0" applyFont="1" applyFill="1" applyBorder="1"/>
    <xf numFmtId="0" fontId="6" fillId="5" borderId="1" xfId="0" applyFont="1" applyFill="1" applyBorder="1"/>
    <xf numFmtId="0" fontId="6" fillId="9" borderId="0" xfId="0" applyFont="1" applyFill="1" applyAlignment="1">
      <alignment horizontal="center"/>
    </xf>
    <xf numFmtId="0" fontId="6" fillId="7" borderId="0" xfId="0" applyFont="1" applyFill="1" applyAlignment="1">
      <alignment horizontal="center"/>
    </xf>
    <xf numFmtId="0" fontId="6" fillId="5" borderId="0" xfId="0" applyFont="1" applyFill="1" applyAlignment="1">
      <alignment horizontal="center"/>
    </xf>
    <xf numFmtId="0" fontId="0" fillId="8" borderId="0" xfId="0" applyFill="1" applyAlignment="1">
      <alignment horizontal="center"/>
    </xf>
    <xf numFmtId="0" fontId="0" fillId="2" borderId="0" xfId="0" applyFill="1" applyAlignment="1">
      <alignment horizontal="center"/>
    </xf>
    <xf numFmtId="0" fontId="0" fillId="3" borderId="0" xfId="0" applyFill="1" applyAlignment="1">
      <alignment horizontal="center"/>
    </xf>
    <xf numFmtId="0" fontId="0" fillId="4" borderId="0" xfId="0" applyFill="1" applyAlignment="1">
      <alignment horizontal="center"/>
    </xf>
    <xf numFmtId="49" fontId="1" fillId="10" borderId="0" xfId="0" applyNumberFormat="1" applyFont="1" applyFill="1" applyAlignment="1">
      <alignment horizontal="left" vertical="top" wrapText="1"/>
    </xf>
    <xf numFmtId="49" fontId="1" fillId="10" borderId="0" xfId="0" applyNumberFormat="1" applyFont="1" applyFill="1" applyAlignment="1">
      <alignment horizontal="left" vertical="top"/>
    </xf>
    <xf numFmtId="49" fontId="1" fillId="11" borderId="0" xfId="0" applyNumberFormat="1" applyFont="1" applyFill="1" applyAlignment="1">
      <alignment horizontal="left" vertical="top" wrapText="1"/>
    </xf>
    <xf numFmtId="0" fontId="1" fillId="11" borderId="0" xfId="0" applyFont="1" applyFill="1" applyAlignment="1">
      <alignment horizontal="left" vertical="top" wrapText="1"/>
    </xf>
    <xf numFmtId="1" fontId="1" fillId="11" borderId="0" xfId="0" applyNumberFormat="1" applyFont="1" applyFill="1" applyAlignment="1">
      <alignment horizontal="center" vertical="top" wrapText="1"/>
    </xf>
    <xf numFmtId="0" fontId="6" fillId="0" borderId="0" xfId="0" applyFont="1" applyAlignment="1">
      <alignment horizontal="center"/>
    </xf>
    <xf numFmtId="0" fontId="0" fillId="0" borderId="0" xfId="0" applyAlignment="1">
      <alignment horizontal="center"/>
    </xf>
    <xf numFmtId="0" fontId="7" fillId="0" borderId="0" xfId="0" applyFont="1"/>
    <xf numFmtId="0" fontId="0" fillId="8" borderId="0" xfId="0" applyFill="1"/>
    <xf numFmtId="0" fontId="0" fillId="2" borderId="0" xfId="0" applyFill="1"/>
    <xf numFmtId="0" fontId="0" fillId="3" borderId="0" xfId="0" applyFill="1"/>
    <xf numFmtId="0" fontId="0" fillId="4" borderId="0" xfId="0" applyFill="1"/>
    <xf numFmtId="0" fontId="9" fillId="0" borderId="0" xfId="0" applyFont="1"/>
    <xf numFmtId="49" fontId="1" fillId="10" borderId="2" xfId="0" applyNumberFormat="1" applyFont="1" applyFill="1" applyBorder="1" applyAlignment="1">
      <alignment horizontal="left" vertical="top" wrapText="1"/>
    </xf>
    <xf numFmtId="49" fontId="1" fillId="10" borderId="3" xfId="0" applyNumberFormat="1" applyFont="1" applyFill="1" applyBorder="1" applyAlignment="1">
      <alignment horizontal="left" vertical="top" wrapText="1"/>
    </xf>
    <xf numFmtId="1" fontId="2" fillId="11" borderId="0" xfId="0" applyNumberFormat="1" applyFont="1" applyFill="1" applyAlignment="1">
      <alignment horizontal="center" vertical="top"/>
    </xf>
    <xf numFmtId="1" fontId="11" fillId="12" borderId="0" xfId="3" applyNumberFormat="1" applyAlignment="1">
      <alignment horizontal="center" vertical="top" wrapText="1"/>
    </xf>
    <xf numFmtId="0" fontId="11" fillId="12" borderId="0" xfId="3" applyNumberFormat="1" applyAlignment="1" applyProtection="1">
      <alignment horizontal="left" vertical="top" wrapText="1"/>
    </xf>
    <xf numFmtId="0" fontId="12" fillId="0" borderId="0" xfId="0" applyFont="1"/>
    <xf numFmtId="0" fontId="10" fillId="0" borderId="0" xfId="0" applyFont="1"/>
    <xf numFmtId="0" fontId="10" fillId="0" borderId="0" xfId="0" applyFont="1" applyAlignment="1">
      <alignment horizontal="left"/>
    </xf>
    <xf numFmtId="0" fontId="8" fillId="0" borderId="0" xfId="0" applyFont="1" applyAlignment="1">
      <alignment horizontal="left" wrapText="1"/>
    </xf>
    <xf numFmtId="0" fontId="1" fillId="0" borderId="0" xfId="0" applyFont="1" applyAlignment="1">
      <alignment horizontal="left" wrapText="1"/>
    </xf>
    <xf numFmtId="0" fontId="8" fillId="0" borderId="0" xfId="0" applyFont="1" applyAlignment="1">
      <alignment horizontal="left" vertical="center" wrapText="1"/>
    </xf>
    <xf numFmtId="0" fontId="1" fillId="0" borderId="0" xfId="0" applyFont="1" applyAlignment="1">
      <alignment horizontal="left" vertical="center" wrapText="1"/>
    </xf>
    <xf numFmtId="0" fontId="8" fillId="0" borderId="0" xfId="0" applyFont="1" applyAlignment="1">
      <alignment horizontal="left" vertical="top" wrapText="1"/>
    </xf>
    <xf numFmtId="49" fontId="2" fillId="0" borderId="4" xfId="0" applyNumberFormat="1" applyFont="1" applyBorder="1" applyAlignment="1">
      <alignment horizontal="center" vertical="top" wrapText="1"/>
    </xf>
    <xf numFmtId="49" fontId="2" fillId="0" borderId="5" xfId="0" applyNumberFormat="1" applyFont="1" applyBorder="1" applyAlignment="1">
      <alignment horizontal="center" vertical="top" wrapText="1"/>
    </xf>
  </cellXfs>
  <cellStyles count="4">
    <cellStyle name="20% - Accent1" xfId="3" builtinId="30"/>
    <cellStyle name="Followed Hyperlink" xfId="2" builtinId="9" hidden="1"/>
    <cellStyle name="Hyperlink" xfId="1" builtinId="8" hidden="1"/>
    <cellStyle name="Normal" xfId="0" builtinId="0"/>
  </cellStyles>
  <dxfs count="49">
    <dxf>
      <font>
        <b val="0"/>
        <i val="0"/>
      </font>
      <fill>
        <patternFill>
          <bgColor theme="9" tint="0.59996337778862885"/>
        </patternFill>
      </fill>
    </dxf>
    <dxf>
      <font>
        <b val="0"/>
        <i val="0"/>
      </font>
      <fill>
        <patternFill>
          <bgColor theme="9"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rgb="FFFFC000"/>
        </patternFill>
      </fill>
    </dxf>
    <dxf>
      <font>
        <color theme="0"/>
      </font>
      <fill>
        <patternFill>
          <fgColor theme="0"/>
          <bgColor theme="5"/>
        </patternFill>
      </fill>
    </dxf>
    <dxf>
      <font>
        <color theme="0"/>
      </font>
      <fill>
        <patternFill>
          <bgColor rgb="FFFF0000"/>
        </patternFill>
      </fill>
    </dxf>
    <dxf>
      <font>
        <color theme="0"/>
      </font>
      <fill>
        <patternFill>
          <bgColor rgb="FFC00000"/>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val="0"/>
        <i val="0"/>
      </font>
      <fill>
        <patternFill>
          <bgColor theme="7" tint="0.39994506668294322"/>
        </patternFill>
      </fill>
    </dxf>
    <dxf>
      <fill>
        <patternFill>
          <bgColor theme="7" tint="0.79998168889431442"/>
        </patternFill>
      </fill>
    </dxf>
    <dxf>
      <font>
        <b val="0"/>
        <i val="0"/>
      </font>
      <fill>
        <patternFill>
          <bgColor theme="7" tint="0.59996337778862885"/>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ill>
        <patternFill>
          <bgColor theme="7" tint="0.39994506668294322"/>
        </patternFill>
      </fill>
    </dxf>
    <dxf>
      <fill>
        <patternFill>
          <bgColor theme="7" tint="0.59996337778862885"/>
        </patternFill>
      </fill>
    </dxf>
    <dxf>
      <fill>
        <patternFill>
          <bgColor theme="7" tint="0.79998168889431442"/>
        </patternFill>
      </fill>
    </dxf>
    <dxf>
      <fill>
        <patternFill>
          <bgColor theme="7"/>
        </patternFill>
      </fill>
    </dxf>
    <dxf>
      <fill>
        <patternFill>
          <bgColor theme="7"/>
        </patternFill>
      </fill>
    </dxf>
    <dxf>
      <fill>
        <patternFill>
          <bgColor theme="7" tint="0.79998168889431442"/>
        </patternFill>
      </fill>
    </dxf>
    <dxf>
      <fill>
        <patternFill>
          <bgColor theme="7" tint="0.59996337778862885"/>
        </patternFill>
      </fill>
    </dxf>
    <dxf>
      <fill>
        <patternFill>
          <bgColor theme="7" tint="0.39994506668294322"/>
        </patternFill>
      </fill>
    </dxf>
    <dxf>
      <fill>
        <patternFill>
          <bgColor theme="7"/>
        </patternFill>
      </fill>
    </dxf>
    <dxf>
      <font>
        <b val="0"/>
        <i val="0"/>
      </font>
      <fill>
        <patternFill>
          <bgColor theme="9" tint="0.59996337778862885"/>
        </patternFill>
      </fill>
    </dxf>
    <dxf>
      <font>
        <strike val="0"/>
        <outline val="0"/>
        <shadow val="0"/>
        <u val="none"/>
        <vertAlign val="baseline"/>
        <sz val="14"/>
        <color theme="1"/>
        <name val="Calibri"/>
        <scheme val="minor"/>
      </font>
      <numFmt numFmtId="30" formatCode="@"/>
      <fill>
        <patternFill patternType="solid">
          <fgColor indexed="64"/>
          <bgColor theme="4" tint="0.79998168889431442"/>
        </patternFill>
      </fill>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solid">
          <fgColor indexed="64"/>
          <bgColor theme="5"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1" formatCode="0"/>
      <fill>
        <patternFill patternType="solid">
          <fgColor indexed="64"/>
          <bgColor theme="4" tint="0.79998168889431442"/>
        </patternFill>
      </fill>
      <alignment horizontal="center" vertical="top" textRotation="0" wrapText="1" indent="0" justifyLastLine="0" shrinkToFit="0" readingOrder="0"/>
    </dxf>
    <dxf>
      <font>
        <b val="0"/>
        <i val="0"/>
        <strike val="0"/>
        <condense val="0"/>
        <extend val="0"/>
        <outline val="0"/>
        <shadow val="0"/>
        <u val="none"/>
        <vertAlign val="baseline"/>
        <sz val="14"/>
        <color theme="1"/>
        <name val="Calibri"/>
        <scheme val="minor"/>
      </font>
      <fill>
        <patternFill patternType="solid">
          <fgColor indexed="64"/>
          <bgColor theme="5" tint="0.59999389629810485"/>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1" formatCode="0"/>
      <fill>
        <patternFill patternType="solid">
          <fgColor indexed="64"/>
          <bgColor theme="4" tint="0.79998168889431442"/>
        </patternFill>
      </fill>
      <alignment horizontal="center"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30" formatCode="@"/>
      <fill>
        <patternFill patternType="solid">
          <fgColor indexed="64"/>
          <bgColor theme="5"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scheme val="minor"/>
      </font>
      <numFmt numFmtId="30" formatCode="@"/>
      <fill>
        <patternFill patternType="solid">
          <fgColor indexed="64"/>
          <bgColor theme="5"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numFmt numFmtId="30" formatCode="@"/>
      <fill>
        <patternFill patternType="solid">
          <fgColor indexed="64"/>
          <bgColor theme="4" tint="0.79998168889431442"/>
        </patternFill>
      </fill>
      <alignment horizontal="left" vertical="top" textRotation="0" wrapText="1" indent="0" justifyLastLine="0" shrinkToFit="0" readingOrder="0"/>
    </dxf>
    <dxf>
      <font>
        <b val="0"/>
        <i val="0"/>
        <strike val="0"/>
        <condense val="0"/>
        <extend val="0"/>
        <outline val="0"/>
        <shadow val="0"/>
        <u val="none"/>
        <vertAlign val="baseline"/>
        <sz val="14"/>
        <color theme="1"/>
        <name val="Calibri"/>
        <family val="2"/>
        <scheme val="minor"/>
      </font>
      <numFmt numFmtId="30" formatCode="@"/>
      <fill>
        <patternFill patternType="solid">
          <fgColor indexed="64"/>
          <bgColor theme="4" tint="0.79998168889431442"/>
        </patternFill>
      </fill>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alignment horizontal="left" vertical="top" textRotation="0" wrapText="1" indent="0" justifyLastLine="0" shrinkToFit="0" readingOrder="0"/>
    </dxf>
    <dxf>
      <font>
        <strike val="0"/>
        <outline val="0"/>
        <shadow val="0"/>
        <u val="none"/>
        <vertAlign val="baseline"/>
        <sz val="14"/>
        <color theme="1"/>
        <name val="Calibri"/>
        <scheme val="minor"/>
      </font>
      <numFmt numFmtId="30" formatCode="@"/>
      <fill>
        <patternFill patternType="solid">
          <fgColor indexed="64"/>
          <bgColor theme="4"/>
        </patternFill>
      </fill>
      <alignment horizontal="left" vertical="top" textRotation="0" wrapText="0" indent="0" justifyLastLine="0" shrinkToFit="0" readingOrder="0"/>
    </dxf>
    <dxf>
      <font>
        <b/>
        <i val="0"/>
        <strike val="0"/>
        <condense val="0"/>
        <extend val="0"/>
        <outline val="0"/>
        <shadow val="0"/>
        <u val="none"/>
        <vertAlign val="baseline"/>
        <sz val="12"/>
        <color theme="1"/>
        <name val="Calibri"/>
        <family val="2"/>
        <scheme val="minor"/>
      </font>
    </dxf>
  </dxfs>
  <tableStyles count="1" defaultTableStyle="Tabellformat 1" defaultPivotStyle="PivotStyleMedium7">
    <tableStyle name="Tabellformat 1" pivot="0" count="0" xr9:uid="{00000000-0011-0000-FFFF-FFFF00000000}"/>
  </tableStyles>
  <colors>
    <mruColors>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2</xdr:col>
      <xdr:colOff>31750</xdr:colOff>
      <xdr:row>2</xdr:row>
      <xdr:rowOff>165099</xdr:rowOff>
    </xdr:from>
    <xdr:to>
      <xdr:col>14</xdr:col>
      <xdr:colOff>368300</xdr:colOff>
      <xdr:row>47</xdr:row>
      <xdr:rowOff>137583</xdr:rowOff>
    </xdr:to>
    <xdr:sp macro="" textlink="">
      <xdr:nvSpPr>
        <xdr:cNvPr id="2" name="textruta 1">
          <a:extLst>
            <a:ext uri="{FF2B5EF4-FFF2-40B4-BE49-F238E27FC236}">
              <a16:creationId xmlns:a16="http://schemas.microsoft.com/office/drawing/2014/main" id="{00000000-0008-0000-0000-000002000000}"/>
            </a:ext>
          </a:extLst>
        </xdr:cNvPr>
        <xdr:cNvSpPr txBox="1"/>
      </xdr:nvSpPr>
      <xdr:spPr>
        <a:xfrm>
          <a:off x="1386417" y="567266"/>
          <a:ext cx="8464550" cy="90212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sv-SE" sz="1800">
              <a:solidFill>
                <a:schemeClr val="dk1"/>
              </a:solidFill>
              <a:effectLst/>
              <a:latin typeface="+mn-lt"/>
              <a:ea typeface="+mn-ea"/>
              <a:cs typeface="+mn-cs"/>
            </a:rPr>
            <a:t>Manual Verktyget</a:t>
          </a:r>
          <a:r>
            <a:rPr lang="sv-SE" sz="1800" baseline="0">
              <a:solidFill>
                <a:schemeClr val="dk1"/>
              </a:solidFill>
              <a:effectLst/>
              <a:latin typeface="+mn-lt"/>
              <a:ea typeface="+mn-ea"/>
              <a:cs typeface="+mn-cs"/>
            </a:rPr>
            <a:t> Risk</a:t>
          </a:r>
          <a:endParaRPr lang="sv-SE" sz="1800">
            <a:solidFill>
              <a:schemeClr val="dk1"/>
            </a:solidFill>
            <a:effectLst/>
            <a:latin typeface="+mn-lt"/>
            <a:ea typeface="+mn-ea"/>
            <a:cs typeface="+mn-cs"/>
          </a:endParaRPr>
        </a:p>
        <a:p>
          <a:endParaRPr lang="sv-SE" sz="1400">
            <a:solidFill>
              <a:schemeClr val="dk1"/>
            </a:solidFill>
            <a:effectLst/>
            <a:latin typeface="+mn-lt"/>
            <a:ea typeface="+mn-ea"/>
            <a:cs typeface="+mn-cs"/>
          </a:endParaRPr>
        </a:p>
        <a:p>
          <a:r>
            <a:rPr lang="sv-SE" sz="1200">
              <a:solidFill>
                <a:schemeClr val="dk1"/>
              </a:solidFill>
              <a:effectLst/>
              <a:latin typeface="+mn-lt"/>
              <a:ea typeface="+mn-ea"/>
              <a:cs typeface="+mn-cs"/>
            </a:rPr>
            <a:t>Detta verktyg är</a:t>
          </a:r>
          <a:r>
            <a:rPr lang="sv-SE" sz="1200" baseline="0">
              <a:solidFill>
                <a:schemeClr val="dk1"/>
              </a:solidFill>
              <a:effectLst/>
              <a:latin typeface="+mn-lt"/>
              <a:ea typeface="+mn-ea"/>
              <a:cs typeface="+mn-cs"/>
            </a:rPr>
            <a:t> en anpassning av det riskhanteringsverktyg som tillhandahålls av sajten informationssakerhet.se. Filen används i kursen ETE352 Cybersäkerhet - grunder och medvetenhet som ges vid Linköpings universitet. Anpassningarna har gjorts för att passa kursen och att tydliggöra kopplingen till tillgångar och hotmodelleringen. Den är också något förenklad genom att kategorin riskägare är borttagen eftersom detta är organisationsspecifikt. Om en verklig riskanalys ska göras så bör det ursprungliga verktyget användas anpassas, denna fil är primärt avsedd för undervisning.</a:t>
          </a:r>
        </a:p>
        <a:p>
          <a:endParaRPr lang="sv-SE" sz="12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chemeClr val="dk1"/>
              </a:solidFill>
              <a:effectLst/>
              <a:latin typeface="+mn-lt"/>
              <a:ea typeface="+mn-ea"/>
              <a:cs typeface="+mn-cs"/>
            </a:rPr>
            <a:t>1. Fyll i studentdata</a:t>
          </a:r>
          <a:endParaRPr lang="sv-SE" sz="1200" baseline="0">
            <a:solidFill>
              <a:schemeClr val="dk1"/>
            </a:solidFill>
            <a:effectLst/>
            <a:latin typeface="+mn-lt"/>
            <a:ea typeface="+mn-ea"/>
            <a:cs typeface="+mn-cs"/>
          </a:endParaRPr>
        </a:p>
        <a:p>
          <a:r>
            <a:rPr lang="sv-SE" sz="1200">
              <a:solidFill>
                <a:schemeClr val="dk1"/>
              </a:solidFill>
              <a:effectLst/>
              <a:latin typeface="+mn-lt"/>
              <a:ea typeface="+mn-ea"/>
              <a:cs typeface="+mn-cs"/>
            </a:rPr>
            <a:t>Skriv</a:t>
          </a:r>
          <a:r>
            <a:rPr lang="sv-SE" sz="1200" baseline="0">
              <a:solidFill>
                <a:schemeClr val="dk1"/>
              </a:solidFill>
              <a:effectLst/>
              <a:latin typeface="+mn-lt"/>
              <a:ea typeface="+mn-ea"/>
              <a:cs typeface="+mn-cs"/>
            </a:rPr>
            <a:t> ditt namn och LiU-ID i fliken "Studentdata" i respektive kolumn.</a:t>
          </a:r>
          <a:endParaRPr lang="sv-SE" sz="1200">
            <a:solidFill>
              <a:schemeClr val="dk1"/>
            </a:solidFill>
            <a:effectLst/>
            <a:latin typeface="+mn-lt"/>
            <a:ea typeface="+mn-ea"/>
            <a:cs typeface="+mn-cs"/>
          </a:endParaRPr>
        </a:p>
        <a:p>
          <a:endParaRPr lang="sv-SE" sz="1200">
            <a:solidFill>
              <a:schemeClr val="dk1"/>
            </a:solidFill>
            <a:effectLst/>
            <a:latin typeface="+mn-lt"/>
            <a:ea typeface="+mn-ea"/>
            <a:cs typeface="+mn-cs"/>
          </a:endParaRPr>
        </a:p>
        <a:p>
          <a:r>
            <a:rPr lang="sv-SE" sz="1200" b="1">
              <a:solidFill>
                <a:schemeClr val="dk1"/>
              </a:solidFill>
              <a:effectLst/>
              <a:latin typeface="+mn-lt"/>
              <a:ea typeface="+mn-ea"/>
              <a:cs typeface="+mn-cs"/>
            </a:rPr>
            <a:t>2.</a:t>
          </a:r>
          <a:r>
            <a:rPr lang="sv-SE" sz="1200" b="1" baseline="0">
              <a:solidFill>
                <a:schemeClr val="dk1"/>
              </a:solidFill>
              <a:effectLst/>
              <a:latin typeface="+mn-lt"/>
              <a:ea typeface="+mn-ea"/>
              <a:cs typeface="+mn-cs"/>
            </a:rPr>
            <a:t> Definiera risknivåer </a:t>
          </a:r>
        </a:p>
        <a:p>
          <a:pPr marL="0" marR="0" lvl="0" indent="0" defTabSz="914400" eaLnBrk="1" fontAlgn="auto" latinLnBrk="0" hangingPunct="1">
            <a:lnSpc>
              <a:spcPct val="100000"/>
            </a:lnSpc>
            <a:spcBef>
              <a:spcPts val="0"/>
            </a:spcBef>
            <a:spcAft>
              <a:spcPts val="0"/>
            </a:spcAft>
            <a:buClrTx/>
            <a:buSzTx/>
            <a:buFontTx/>
            <a:buNone/>
            <a:tabLst/>
            <a:defRPr/>
          </a:pPr>
          <a:r>
            <a:rPr lang="sv-SE" sz="1200">
              <a:solidFill>
                <a:schemeClr val="dk1"/>
              </a:solidFill>
              <a:effectLst/>
              <a:latin typeface="+mn-lt"/>
              <a:ea typeface="+mn-ea"/>
              <a:cs typeface="+mn-cs"/>
            </a:rPr>
            <a:t>Under fliken </a:t>
          </a:r>
          <a:r>
            <a:rPr lang="sv-SE" sz="1200" i="1">
              <a:solidFill>
                <a:schemeClr val="dk1"/>
              </a:solidFill>
              <a:effectLst/>
              <a:latin typeface="+mn-lt"/>
              <a:ea typeface="+mn-ea"/>
              <a:cs typeface="+mn-cs"/>
            </a:rPr>
            <a:t>Risknivåer</a:t>
          </a:r>
          <a:r>
            <a:rPr lang="sv-SE" sz="1200" baseline="0">
              <a:solidFill>
                <a:schemeClr val="dk1"/>
              </a:solidFill>
              <a:effectLst/>
              <a:latin typeface="+mn-lt"/>
              <a:ea typeface="+mn-ea"/>
              <a:cs typeface="+mn-cs"/>
            </a:rPr>
            <a:t> kan man fastställa vad de olika nivåerna av sannolikhet och konsekvens har för innebörd. För konsekvens finns kategorierna Ekonomisk förlust, Minskat förtroende, Avbrott i verksamheten, och Bristande regelefterlevnad.</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För sannolikhetsnivåerna bör man ange intervall för de fyra nivåerna. Exempelvis kan man med "Låg sannolikhet" ange färre än en incident på tio år.</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Risknivåerna bör definieras initialt, innan riskanalyser genomförs, eftersom d</a:t>
          </a:r>
          <a:r>
            <a:rPr lang="sv-SE" sz="1200">
              <a:solidFill>
                <a:schemeClr val="dk1"/>
              </a:solidFill>
              <a:effectLst/>
              <a:latin typeface="+mn-lt"/>
              <a:ea typeface="+mn-ea"/>
              <a:cs typeface="+mn-cs"/>
            </a:rPr>
            <a:t>et är viktigt</a:t>
          </a:r>
          <a:r>
            <a:rPr lang="sv-SE" sz="1200" baseline="0">
              <a:solidFill>
                <a:schemeClr val="dk1"/>
              </a:solidFill>
              <a:effectLst/>
              <a:latin typeface="+mn-lt"/>
              <a:ea typeface="+mn-ea"/>
              <a:cs typeface="+mn-cs"/>
            </a:rPr>
            <a:t> att organisationen har en gemensam uppfattning om vad som avses med exempelvis "Hög sannolikhet". </a:t>
          </a:r>
          <a:endParaRPr lang="sv-SE"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lang="sv-SE" sz="1200" b="1"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1">
              <a:solidFill>
                <a:schemeClr val="dk1"/>
              </a:solidFill>
              <a:effectLst/>
              <a:latin typeface="+mn-lt"/>
              <a:ea typeface="+mn-ea"/>
              <a:cs typeface="+mn-cs"/>
            </a:rPr>
            <a:t>3. Beskriv</a:t>
          </a:r>
          <a:r>
            <a:rPr lang="sv-SE" sz="1200" b="1" baseline="0">
              <a:solidFill>
                <a:schemeClr val="dk1"/>
              </a:solidFill>
              <a:effectLst/>
              <a:latin typeface="+mn-lt"/>
              <a:ea typeface="+mn-ea"/>
              <a:cs typeface="+mn-cs"/>
            </a:rPr>
            <a:t> risker i fliken "Riskregister"</a:t>
          </a:r>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Kolumnerna Tillgång (B), Egenskap (C), Riskcenario (D), Orsaksbeskrivning (E), Konsekvensbeskrivning (F),  och Kommentar (L) fylls i med vanlig text.</a:t>
          </a:r>
        </a:p>
        <a:p>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För att ange nivåer av sannolikhet och konsekvens, gör så här:</a:t>
          </a:r>
        </a:p>
        <a:p>
          <a:endParaRPr lang="sv-SE" sz="1200" baseline="0">
            <a:solidFill>
              <a:schemeClr val="dk1"/>
            </a:solidFill>
            <a:effectLst/>
            <a:latin typeface="+mn-lt"/>
            <a:ea typeface="+mn-ea"/>
            <a:cs typeface="+mn-cs"/>
          </a:endParaRPr>
        </a:p>
        <a:p>
          <a:r>
            <a:rPr lang="sv-SE" sz="1200" baseline="0">
              <a:solidFill>
                <a:schemeClr val="dk1"/>
              </a:solidFill>
              <a:effectLst/>
              <a:latin typeface="+mn-lt"/>
              <a:ea typeface="+mn-ea"/>
              <a:cs typeface="+mn-cs"/>
            </a:rPr>
            <a:t>Skriv manuellt in numeriska värden (1-4) i kolumnerna G och I. Då fylls de verbala beskrivningarna av sannolikhet (kolumn H) och konsekvens (kolumn J) samt risknivån (kolumn K) i automatiskt. Formateringarna (färgerna) ändras också automatiskt. </a:t>
          </a:r>
          <a:endParaRPr lang="sv-SE" sz="1200">
            <a:solidFill>
              <a:schemeClr val="dk1"/>
            </a:solidFill>
            <a:effectLst/>
            <a:latin typeface="+mn-lt"/>
            <a:ea typeface="+mn-ea"/>
            <a:cs typeface="+mn-cs"/>
          </a:endParaRPr>
        </a:p>
        <a:p>
          <a:endParaRPr lang="sv-SE" sz="1200">
            <a:solidFill>
              <a:schemeClr val="dk1"/>
            </a:solidFill>
            <a:effectLst/>
            <a:latin typeface="+mn-lt"/>
            <a:ea typeface="+mn-ea"/>
            <a:cs typeface="+mn-cs"/>
          </a:endParaRPr>
        </a:p>
        <a:p>
          <a:r>
            <a:rPr lang="sv-SE" sz="1200" b="1">
              <a:solidFill>
                <a:schemeClr val="dk1"/>
              </a:solidFill>
              <a:effectLst/>
              <a:latin typeface="+mn-lt"/>
              <a:ea typeface="+mn-ea"/>
              <a:cs typeface="+mn-cs"/>
            </a:rPr>
            <a:t>4.</a:t>
          </a:r>
          <a:r>
            <a:rPr lang="sv-SE" sz="1200" b="1" baseline="0">
              <a:solidFill>
                <a:schemeClr val="dk1"/>
              </a:solidFill>
              <a:effectLst/>
              <a:latin typeface="+mn-lt"/>
              <a:ea typeface="+mn-ea"/>
              <a:cs typeface="+mn-cs"/>
            </a:rPr>
            <a:t> M</a:t>
          </a:r>
          <a:r>
            <a:rPr lang="sv-SE" sz="1200" b="1">
              <a:solidFill>
                <a:schemeClr val="dk1"/>
              </a:solidFill>
              <a:effectLst/>
              <a:latin typeface="+mn-lt"/>
              <a:ea typeface="+mn-ea"/>
              <a:cs typeface="+mn-cs"/>
            </a:rPr>
            <a:t>odifiering av verktyget (behövs inte för kursen)</a:t>
          </a:r>
        </a:p>
        <a:p>
          <a:pPr marL="0" marR="0" lvl="0" indent="0" defTabSz="914400" eaLnBrk="1" fontAlgn="auto" latinLnBrk="0" hangingPunct="1">
            <a:lnSpc>
              <a:spcPct val="100000"/>
            </a:lnSpc>
            <a:spcBef>
              <a:spcPts val="0"/>
            </a:spcBef>
            <a:spcAft>
              <a:spcPts val="0"/>
            </a:spcAft>
            <a:buClrTx/>
            <a:buSzTx/>
            <a:buFontTx/>
            <a:buNone/>
            <a:tabLst/>
            <a:defRPr/>
          </a:pPr>
          <a:r>
            <a:rPr lang="sv-SE" sz="1200">
              <a:solidFill>
                <a:schemeClr val="dk1"/>
              </a:solidFill>
              <a:effectLst/>
              <a:latin typeface="+mn-lt"/>
              <a:ea typeface="+mn-ea"/>
              <a:cs typeface="+mn-cs"/>
            </a:rPr>
            <a:t>Visuellt</a:t>
          </a:r>
          <a:r>
            <a:rPr lang="sv-SE" sz="1200" baseline="0">
              <a:solidFill>
                <a:schemeClr val="dk1"/>
              </a:solidFill>
              <a:effectLst/>
              <a:latin typeface="+mn-lt"/>
              <a:ea typeface="+mn-ea"/>
              <a:cs typeface="+mn-cs"/>
            </a:rPr>
            <a:t> kan f</a:t>
          </a:r>
          <a:r>
            <a:rPr lang="sv-SE" sz="1200">
              <a:solidFill>
                <a:schemeClr val="dk1"/>
              </a:solidFill>
              <a:effectLst/>
              <a:latin typeface="+mn-lt"/>
              <a:ea typeface="+mn-ea"/>
              <a:cs typeface="+mn-cs"/>
            </a:rPr>
            <a:t>ärgskalorna i kolumnerna ändras för sannolikhet,</a:t>
          </a:r>
          <a:r>
            <a:rPr lang="sv-SE" sz="1200" baseline="0">
              <a:solidFill>
                <a:schemeClr val="dk1"/>
              </a:solidFill>
              <a:effectLst/>
              <a:latin typeface="+mn-lt"/>
              <a:ea typeface="+mn-ea"/>
              <a:cs typeface="+mn-cs"/>
            </a:rPr>
            <a:t> konsekvens och risknivå med "Villkorsstyrd formatering" upp i verktygsfältet.</a:t>
          </a:r>
        </a:p>
        <a:p>
          <a:pPr marL="0" marR="0" lvl="0" indent="0" defTabSz="914400" eaLnBrk="1" fontAlgn="auto" latinLnBrk="0" hangingPunct="1">
            <a:lnSpc>
              <a:spcPct val="100000"/>
            </a:lnSpc>
            <a:spcBef>
              <a:spcPts val="0"/>
            </a:spcBef>
            <a:spcAft>
              <a:spcPts val="0"/>
            </a:spcAft>
            <a:buClrTx/>
            <a:buSzTx/>
            <a:buFontTx/>
            <a:buNone/>
            <a:tabLst/>
            <a:defRPr/>
          </a:pPr>
          <a:endParaRPr lang="sv-SE" sz="1200" baseline="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sv-SE" sz="1200" baseline="0">
              <a:solidFill>
                <a:schemeClr val="dk1"/>
              </a:solidFill>
              <a:effectLst/>
              <a:latin typeface="+mn-lt"/>
              <a:ea typeface="+mn-ea"/>
              <a:cs typeface="+mn-cs"/>
            </a:rPr>
            <a:t>Risknivåerna 1-7 är en kvalitativ gradering av riskers storlek i enlighet med riskmatrisen under fliken Risknivåer. Om man vill hantera kvantitativa risker bör risknivåerna ändras så att nivåerna av sannolikhet och konsekvens multipliceras. Då behöver man ändra formeln i kolumn för risknivån i fliken Riskregister till E x G.</a:t>
          </a:r>
        </a:p>
        <a:p>
          <a:endParaRPr lang="sv-SE" sz="1200">
            <a:solidFill>
              <a:schemeClr val="dk1"/>
            </a:solidFill>
            <a:effectLst/>
            <a:latin typeface="+mn-lt"/>
            <a:ea typeface="+mn-ea"/>
            <a:cs typeface="+mn-cs"/>
          </a:endParaRPr>
        </a:p>
        <a:p>
          <a:r>
            <a:rPr lang="sv-SE" sz="1200">
              <a:solidFill>
                <a:schemeClr val="dk1"/>
              </a:solidFill>
              <a:effectLst/>
              <a:latin typeface="+mn-lt"/>
              <a:ea typeface="+mn-ea"/>
              <a:cs typeface="+mn-cs"/>
            </a:rPr>
            <a:t>Om man vill ändra antalet nivåer</a:t>
          </a:r>
          <a:r>
            <a:rPr lang="sv-SE" sz="1200" baseline="0">
              <a:solidFill>
                <a:schemeClr val="dk1"/>
              </a:solidFill>
              <a:effectLst/>
              <a:latin typeface="+mn-lt"/>
              <a:ea typeface="+mn-ea"/>
              <a:cs typeface="+mn-cs"/>
            </a:rPr>
            <a:t> av sannolikhet och/eller konsekvens så får man dels ändra i fliken Data samt i formlerna i kolumnerna F och H i fliken Riskregister. I fliken Risknivåer finns inga formler och ingen data hämtas därfrån, så det är bara att ändra text och layout efter behov.  </a:t>
          </a:r>
        </a:p>
        <a:p>
          <a:endParaRPr lang="sv-SE" sz="1400" baseline="0">
            <a:solidFill>
              <a:schemeClr val="dk1"/>
            </a:solidFill>
            <a:effectLst/>
            <a:latin typeface="+mn-lt"/>
            <a:ea typeface="+mn-ea"/>
            <a:cs typeface="+mn-cs"/>
          </a:endParaRPr>
        </a:p>
        <a:p>
          <a:endParaRPr lang="sv-SE" sz="1400" b="1">
            <a:solidFill>
              <a:schemeClr val="dk1"/>
            </a:solidFill>
            <a:effectLst/>
            <a:latin typeface="+mn-lt"/>
            <a:ea typeface="+mn-ea"/>
            <a:cs typeface="+mn-cs"/>
          </a:endParaRPr>
        </a:p>
        <a:p>
          <a:pPr algn="l"/>
          <a:endParaRPr lang="sv-SE" sz="12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4B04DB1-59B6-5E40-9F06-8BC825D96F6F}" name="Tabell3" displayName="Tabell3" ref="B2:C3" totalsRowShown="0" headerRowDxfId="48">
  <autoFilter ref="B2:C3" xr:uid="{A4B04DB1-59B6-5E40-9F06-8BC825D96F6F}"/>
  <tableColumns count="2">
    <tableColumn id="1" xr3:uid="{380BF65F-19AC-D949-80E7-99BE5AC1B953}" name="Namn"/>
    <tableColumn id="2" xr3:uid="{6B75B654-75F8-BA43-8125-B91B350BE214}" name="LiU-I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1" displayName="Tabell1" ref="A5:L52" insertRowShift="1" totalsRowShown="0" headerRowDxfId="47" dataDxfId="46">
  <autoFilter ref="A5:L52" xr:uid="{00000000-0009-0000-0100-000001000000}"/>
  <tableColumns count="12">
    <tableColumn id="1" xr3:uid="{00000000-0010-0000-0000-000001000000}" name="ID" dataDxfId="45"/>
    <tableColumn id="7" xr3:uid="{861B49B3-569A-2D44-8B81-5D8CC13BB40E}" name="Tillgång" dataDxfId="44"/>
    <tableColumn id="8" xr3:uid="{BEDE88F0-F370-AC45-99E7-6441176CB5A3}" name="Egenskap (CIA/STRIDE)" dataDxfId="43"/>
    <tableColumn id="4" xr3:uid="{00000000-0010-0000-0000-000004000000}" name="Riskscenario" dataDxfId="42"/>
    <tableColumn id="3" xr3:uid="{00000000-0010-0000-0000-000003000000}" name="Orsaksbeskrivning" dataDxfId="41"/>
    <tableColumn id="2" xr3:uid="{00000000-0010-0000-0000-000002000000}" name="Konsekvensbeskrivning" dataDxfId="40"/>
    <tableColumn id="9" xr3:uid="{00000000-0010-0000-0000-000009000000}" name="Värde S 1-4" dataDxfId="39"/>
    <tableColumn id="12" xr3:uid="{00000000-0010-0000-0000-00000C000000}" name="Sannolikhetsnivå" dataDxfId="38"/>
    <tableColumn id="11" xr3:uid="{00000000-0010-0000-0000-00000B000000}" name="Värde K 1-4" dataDxfId="37"/>
    <tableColumn id="10" xr3:uid="{00000000-0010-0000-0000-00000A000000}" name="Konsekvensnivå" dataDxfId="36"/>
    <tableColumn id="5" xr3:uid="{00000000-0010-0000-0000-000005000000}" name="Risknivå" dataDxfId="35"/>
    <tableColumn id="14" xr3:uid="{00000000-0010-0000-0000-00000E000000}" name="Kommentar" dataDxfId="34"/>
  </tableColumns>
  <tableStyleInfo name="TableStyleMedium9"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opLeftCell="A11" zoomScale="134" zoomScaleNormal="134" workbookViewId="0">
      <selection activeCell="B3" sqref="B3"/>
    </sheetView>
  </sheetViews>
  <sheetFormatPr defaultColWidth="8.875" defaultRowHeight="15.75"/>
  <sheetData/>
  <pageMargins left="0.7" right="0.7" top="0.75" bottom="0.75" header="0.3" footer="0.3"/>
  <pageSetup paperSize="9" orientation="portrait" horizontalDpi="0"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7ABB8-20CD-1140-A201-1103E9F41887}">
  <dimension ref="B2:C3"/>
  <sheetViews>
    <sheetView workbookViewId="0">
      <selection activeCell="C29" sqref="C29"/>
    </sheetView>
  </sheetViews>
  <sheetFormatPr defaultColWidth="10.625" defaultRowHeight="15.75"/>
  <cols>
    <col min="2" max="2" width="25.125" customWidth="1"/>
    <col min="3" max="3" width="25.875" customWidth="1"/>
  </cols>
  <sheetData>
    <row r="2" spans="2:3" ht="21" customHeight="1">
      <c r="B2" s="41" t="s">
        <v>41</v>
      </c>
      <c r="C2" s="41" t="s">
        <v>40</v>
      </c>
    </row>
    <row r="3" spans="2:3" ht="24.95" customHeight="1">
      <c r="B3" t="s">
        <v>43</v>
      </c>
      <c r="C3" t="s">
        <v>44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N20"/>
  <sheetViews>
    <sheetView zoomScale="145" zoomScaleNormal="145" workbookViewId="0">
      <selection activeCell="E9" sqref="E9:F9"/>
    </sheetView>
  </sheetViews>
  <sheetFormatPr defaultColWidth="10.625" defaultRowHeight="15.75"/>
  <cols>
    <col min="2" max="2" width="19.625" bestFit="1" customWidth="1"/>
    <col min="3" max="3" width="10.875" customWidth="1"/>
    <col min="4" max="4" width="16.125" customWidth="1"/>
    <col min="5" max="5" width="77.5" customWidth="1"/>
    <col min="7" max="7" width="77.5" customWidth="1"/>
    <col min="8" max="8" width="10.625" customWidth="1"/>
    <col min="9" max="9" width="100" bestFit="1" customWidth="1"/>
  </cols>
  <sheetData>
    <row r="2" spans="1:14" ht="33.75">
      <c r="A2" s="30" t="s">
        <v>23</v>
      </c>
    </row>
    <row r="4" spans="1:14" ht="18.75">
      <c r="B4" s="2" t="s">
        <v>31</v>
      </c>
      <c r="K4" s="1" t="s">
        <v>22</v>
      </c>
    </row>
    <row r="6" spans="1:14" ht="18.75">
      <c r="C6" s="41" t="s">
        <v>26</v>
      </c>
      <c r="D6" s="2"/>
      <c r="E6" s="41" t="s">
        <v>27</v>
      </c>
      <c r="F6" s="41"/>
      <c r="G6" s="41" t="s">
        <v>28</v>
      </c>
      <c r="H6" s="41"/>
      <c r="I6" s="41" t="s">
        <v>42</v>
      </c>
      <c r="J6">
        <v>4</v>
      </c>
      <c r="K6" s="12">
        <v>4</v>
      </c>
      <c r="L6" s="15">
        <v>5</v>
      </c>
      <c r="M6" s="14">
        <v>6</v>
      </c>
      <c r="N6" s="13">
        <v>7</v>
      </c>
    </row>
    <row r="7" spans="1:14">
      <c r="A7">
        <v>4</v>
      </c>
      <c r="B7" s="31" t="s">
        <v>13</v>
      </c>
      <c r="C7" s="44" t="s">
        <v>129</v>
      </c>
      <c r="D7" s="44"/>
      <c r="E7" s="46" t="s">
        <v>130</v>
      </c>
      <c r="F7" s="46"/>
      <c r="G7" s="48" t="s">
        <v>131</v>
      </c>
      <c r="H7" s="48"/>
      <c r="I7" s="42" t="s">
        <v>139</v>
      </c>
      <c r="J7">
        <v>3</v>
      </c>
      <c r="K7" s="10">
        <v>3</v>
      </c>
      <c r="L7" s="12">
        <v>4</v>
      </c>
      <c r="M7" s="15">
        <v>5</v>
      </c>
      <c r="N7" s="14">
        <v>6</v>
      </c>
    </row>
    <row r="8" spans="1:14" ht="20.25">
      <c r="A8">
        <v>3</v>
      </c>
      <c r="B8" s="32" t="s">
        <v>20</v>
      </c>
      <c r="C8" s="44" t="s">
        <v>128</v>
      </c>
      <c r="D8" s="45"/>
      <c r="E8" s="46" t="s">
        <v>132</v>
      </c>
      <c r="F8" s="47"/>
      <c r="G8" s="44" t="s">
        <v>135</v>
      </c>
      <c r="H8" s="45"/>
      <c r="I8" s="42" t="s">
        <v>138</v>
      </c>
      <c r="J8">
        <v>2</v>
      </c>
      <c r="K8" s="9">
        <v>2</v>
      </c>
      <c r="L8" s="10">
        <v>3</v>
      </c>
      <c r="M8" s="12">
        <v>4</v>
      </c>
      <c r="N8" s="15">
        <v>5</v>
      </c>
    </row>
    <row r="9" spans="1:14" ht="18.75">
      <c r="A9">
        <v>2</v>
      </c>
      <c r="B9" s="33" t="s">
        <v>24</v>
      </c>
      <c r="C9" s="44" t="s">
        <v>124</v>
      </c>
      <c r="D9" s="45"/>
      <c r="E9" s="44" t="s">
        <v>133</v>
      </c>
      <c r="F9" s="45"/>
      <c r="G9" s="44" t="s">
        <v>136</v>
      </c>
      <c r="H9" s="45"/>
      <c r="I9" s="42" t="s">
        <v>140</v>
      </c>
      <c r="J9">
        <v>1</v>
      </c>
      <c r="K9" s="11">
        <v>1</v>
      </c>
      <c r="L9" s="9">
        <v>2</v>
      </c>
      <c r="M9" s="10">
        <v>3</v>
      </c>
      <c r="N9" s="12">
        <v>4</v>
      </c>
    </row>
    <row r="10" spans="1:14" ht="18.75">
      <c r="A10">
        <v>1</v>
      </c>
      <c r="B10" s="34" t="s">
        <v>25</v>
      </c>
      <c r="C10" s="44" t="s">
        <v>125</v>
      </c>
      <c r="D10" s="45"/>
      <c r="E10" s="44" t="s">
        <v>134</v>
      </c>
      <c r="F10" s="45"/>
      <c r="G10" s="44" t="s">
        <v>137</v>
      </c>
      <c r="H10" s="45"/>
      <c r="I10" s="42" t="s">
        <v>141</v>
      </c>
      <c r="K10">
        <v>1</v>
      </c>
      <c r="L10">
        <v>2</v>
      </c>
      <c r="M10">
        <v>3</v>
      </c>
      <c r="N10">
        <v>4</v>
      </c>
    </row>
    <row r="11" spans="1:14" ht="18.75">
      <c r="C11" s="1"/>
    </row>
    <row r="12" spans="1:14" ht="18.75">
      <c r="B12" s="2" t="s">
        <v>32</v>
      </c>
      <c r="H12" s="2"/>
      <c r="K12" s="1" t="s">
        <v>23</v>
      </c>
    </row>
    <row r="13" spans="1:14" ht="18.75">
      <c r="H13" s="1"/>
    </row>
    <row r="14" spans="1:14">
      <c r="A14">
        <v>4</v>
      </c>
      <c r="B14" s="31" t="s">
        <v>17</v>
      </c>
      <c r="C14" s="43" t="s">
        <v>45</v>
      </c>
      <c r="D14" s="43"/>
      <c r="K14" s="16">
        <v>7</v>
      </c>
    </row>
    <row r="15" spans="1:14">
      <c r="A15">
        <v>3</v>
      </c>
      <c r="B15" s="32" t="s">
        <v>18</v>
      </c>
      <c r="C15" s="43" t="s">
        <v>127</v>
      </c>
      <c r="D15" s="43"/>
      <c r="K15" s="17">
        <v>6</v>
      </c>
    </row>
    <row r="16" spans="1:14">
      <c r="A16">
        <v>2</v>
      </c>
      <c r="B16" s="33" t="s">
        <v>19</v>
      </c>
      <c r="C16" s="43" t="s">
        <v>126</v>
      </c>
      <c r="D16" s="43"/>
      <c r="K16" s="18">
        <v>5</v>
      </c>
    </row>
    <row r="17" spans="1:11" ht="15.95" customHeight="1">
      <c r="A17">
        <v>1</v>
      </c>
      <c r="B17" s="34" t="s">
        <v>12</v>
      </c>
      <c r="C17" s="43" t="s">
        <v>46</v>
      </c>
      <c r="D17" s="43"/>
      <c r="K17" s="19">
        <v>4</v>
      </c>
    </row>
    <row r="18" spans="1:11">
      <c r="K18" s="20">
        <v>3</v>
      </c>
    </row>
    <row r="19" spans="1:11">
      <c r="K19" s="21">
        <v>2</v>
      </c>
    </row>
    <row r="20" spans="1:11">
      <c r="K20" s="22">
        <v>1</v>
      </c>
    </row>
  </sheetData>
  <mergeCells count="16">
    <mergeCell ref="C7:D7"/>
    <mergeCell ref="E7:F7"/>
    <mergeCell ref="G7:H7"/>
    <mergeCell ref="C14:D14"/>
    <mergeCell ref="C15:D15"/>
    <mergeCell ref="G8:H8"/>
    <mergeCell ref="G9:H9"/>
    <mergeCell ref="G10:H10"/>
    <mergeCell ref="C17:D17"/>
    <mergeCell ref="C8:D8"/>
    <mergeCell ref="C9:D9"/>
    <mergeCell ref="C10:D10"/>
    <mergeCell ref="E8:F8"/>
    <mergeCell ref="E9:F9"/>
    <mergeCell ref="E10:F10"/>
    <mergeCell ref="C16:D16"/>
  </mergeCells>
  <conditionalFormatting sqref="B14">
    <cfRule type="containsText" dxfId="33" priority="2" operator="containsText" text="Ja">
      <formula>NOT(ISERROR(SEARCH("Ja",B14)))</formula>
    </cfRule>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1"/>
  <dimension ref="A2:N52"/>
  <sheetViews>
    <sheetView tabSelected="1" zoomScale="70" zoomScaleNormal="70" workbookViewId="0">
      <selection activeCell="D9" sqref="D9"/>
    </sheetView>
  </sheetViews>
  <sheetFormatPr defaultColWidth="10.875" defaultRowHeight="18.75"/>
  <cols>
    <col min="1" max="1" width="12.625" style="4" customWidth="1"/>
    <col min="2" max="2" width="29" style="4" bestFit="1" customWidth="1"/>
    <col min="3" max="3" width="20" style="4" customWidth="1"/>
    <col min="4" max="4" width="47.625" style="4" bestFit="1" customWidth="1"/>
    <col min="5" max="5" width="27.5" style="4" bestFit="1" customWidth="1"/>
    <col min="6" max="6" width="32.75" style="4" bestFit="1" customWidth="1"/>
    <col min="7" max="7" width="16.625" style="4" customWidth="1"/>
    <col min="8" max="8" width="21.125" style="4" customWidth="1"/>
    <col min="9" max="9" width="16.125" style="4" customWidth="1"/>
    <col min="10" max="10" width="20.125" style="4" customWidth="1"/>
    <col min="11" max="11" width="14.875" style="5" customWidth="1"/>
    <col min="12" max="12" width="26.5" style="5" customWidth="1"/>
    <col min="13" max="13" width="10.875" style="1"/>
    <col min="14" max="14" width="12" style="1" customWidth="1"/>
    <col min="15" max="16384" width="10.875" style="1"/>
  </cols>
  <sheetData>
    <row r="2" spans="1:14" ht="36" customHeight="1">
      <c r="A2" s="8" t="s">
        <v>15</v>
      </c>
      <c r="B2" s="8"/>
      <c r="C2" s="8"/>
      <c r="D2" s="8"/>
      <c r="F2" s="6"/>
      <c r="G2" s="6"/>
      <c r="H2" s="6"/>
      <c r="I2" s="6"/>
      <c r="J2" s="6"/>
    </row>
    <row r="3" spans="1:14">
      <c r="K3" s="7"/>
    </row>
    <row r="4" spans="1:14" ht="20.100000000000001" customHeight="1">
      <c r="G4" s="49" t="s">
        <v>10</v>
      </c>
      <c r="H4" s="50"/>
      <c r="I4" s="49" t="s">
        <v>11</v>
      </c>
      <c r="J4" s="50"/>
    </row>
    <row r="5" spans="1:14" ht="38.25" thickBot="1">
      <c r="A5" s="23" t="s">
        <v>1</v>
      </c>
      <c r="B5" s="23" t="s">
        <v>37</v>
      </c>
      <c r="C5" s="23" t="s">
        <v>39</v>
      </c>
      <c r="D5" s="23" t="s">
        <v>38</v>
      </c>
      <c r="E5" s="23" t="s">
        <v>21</v>
      </c>
      <c r="F5" s="23" t="s">
        <v>16</v>
      </c>
      <c r="G5" s="36" t="s">
        <v>33</v>
      </c>
      <c r="H5" s="37" t="s">
        <v>35</v>
      </c>
      <c r="I5" s="36" t="s">
        <v>34</v>
      </c>
      <c r="J5" s="37" t="s">
        <v>36</v>
      </c>
      <c r="K5" s="24" t="s">
        <v>29</v>
      </c>
      <c r="L5" s="24" t="s">
        <v>14</v>
      </c>
    </row>
    <row r="6" spans="1:14" ht="75">
      <c r="A6" s="25" t="s">
        <v>2</v>
      </c>
      <c r="B6" s="25" t="s">
        <v>47</v>
      </c>
      <c r="C6" s="25" t="s">
        <v>54</v>
      </c>
      <c r="D6" s="25" t="s">
        <v>61</v>
      </c>
      <c r="E6" s="25" t="s">
        <v>62</v>
      </c>
      <c r="F6" s="25" t="s">
        <v>48</v>
      </c>
      <c r="G6" s="39">
        <v>2</v>
      </c>
      <c r="H6" s="40" t="str">
        <f>IF(ISBLANK(G6),"",VLOOKUP(G6,Data!$C$5:$D$8,2))</f>
        <v>Medelhög</v>
      </c>
      <c r="I6" s="39">
        <v>3</v>
      </c>
      <c r="J6" s="26" t="str">
        <f>IF(ISBLANK(I6),"",VLOOKUP(I6,Data!$E$5:$F$8,2))</f>
        <v xml:space="preserve">Betydande </v>
      </c>
      <c r="K6" s="38">
        <f t="shared" ref="K6:K12" si="0">IF(ISBLANK(I6),"",G6+I6-1)</f>
        <v>4</v>
      </c>
      <c r="L6" s="25"/>
    </row>
    <row r="7" spans="1:14" ht="93.75">
      <c r="A7" s="25" t="s">
        <v>3</v>
      </c>
      <c r="B7" s="25" t="s">
        <v>49</v>
      </c>
      <c r="C7" s="25" t="s">
        <v>55</v>
      </c>
      <c r="D7" s="25" t="s">
        <v>63</v>
      </c>
      <c r="E7" s="25" t="s">
        <v>64</v>
      </c>
      <c r="F7" s="25" t="s">
        <v>65</v>
      </c>
      <c r="G7" s="39">
        <v>4</v>
      </c>
      <c r="H7" s="40" t="str">
        <f>IF(ISBLANK(G7),"",VLOOKUP(G7,Data!$C$5:$D$8,2))</f>
        <v>Mycket hög</v>
      </c>
      <c r="I7" s="39">
        <v>2</v>
      </c>
      <c r="J7" s="26" t="str">
        <f>IF(ISBLANK(I7),"",VLOOKUP(I7,Data!$E$5:$F$8,2))</f>
        <v>Måttlig</v>
      </c>
      <c r="K7" s="38">
        <f t="shared" si="0"/>
        <v>5</v>
      </c>
      <c r="L7" s="25"/>
    </row>
    <row r="8" spans="1:14" ht="93.75">
      <c r="A8" s="25" t="s">
        <v>4</v>
      </c>
      <c r="B8" s="25" t="s">
        <v>50</v>
      </c>
      <c r="C8" s="25" t="s">
        <v>56</v>
      </c>
      <c r="D8" s="25" t="s">
        <v>66</v>
      </c>
      <c r="E8" s="25" t="s">
        <v>67</v>
      </c>
      <c r="F8" s="25" t="s">
        <v>68</v>
      </c>
      <c r="G8" s="39">
        <v>3</v>
      </c>
      <c r="H8" s="40" t="str">
        <f>IF(ISBLANK(G8),"",VLOOKUP(G8,Data!$C$5:$D$8,2))</f>
        <v>Hög</v>
      </c>
      <c r="I8" s="39">
        <v>4</v>
      </c>
      <c r="J8" s="26" t="str">
        <f>IF(ISBLANK(I8),"",VLOOKUP(I8,Data!$E$5:$F$8,2))</f>
        <v>Allvarlig</v>
      </c>
      <c r="K8" s="38">
        <f t="shared" si="0"/>
        <v>6</v>
      </c>
      <c r="L8" s="25"/>
    </row>
    <row r="9" spans="1:14" ht="112.5">
      <c r="A9" s="25" t="s">
        <v>5</v>
      </c>
      <c r="B9" s="25" t="s">
        <v>51</v>
      </c>
      <c r="C9" s="25" t="s">
        <v>57</v>
      </c>
      <c r="D9" s="25" t="s">
        <v>69</v>
      </c>
      <c r="E9" s="25" t="s">
        <v>70</v>
      </c>
      <c r="F9" s="25" t="s">
        <v>71</v>
      </c>
      <c r="G9" s="39">
        <v>2</v>
      </c>
      <c r="H9" s="40" t="str">
        <f>IF(ISBLANK(G9),"",VLOOKUP(G9,Data!$C$5:$D$8,2))</f>
        <v>Medelhög</v>
      </c>
      <c r="I9" s="39">
        <v>4</v>
      </c>
      <c r="J9" s="26" t="str">
        <f>IF(ISBLANK(I9),"",VLOOKUP(I9,Data!$E$5:$F$8,2))</f>
        <v>Allvarlig</v>
      </c>
      <c r="K9" s="38">
        <f t="shared" si="0"/>
        <v>5</v>
      </c>
      <c r="L9" s="25"/>
    </row>
    <row r="10" spans="1:14" ht="93.75">
      <c r="A10" s="25" t="s">
        <v>6</v>
      </c>
      <c r="B10" s="25" t="s">
        <v>52</v>
      </c>
      <c r="C10" s="25" t="s">
        <v>58</v>
      </c>
      <c r="D10" s="25" t="s">
        <v>72</v>
      </c>
      <c r="E10" s="25" t="s">
        <v>73</v>
      </c>
      <c r="F10" s="25" t="s">
        <v>74</v>
      </c>
      <c r="G10" s="39">
        <v>3</v>
      </c>
      <c r="H10" s="40" t="str">
        <f>IF(ISBLANK(G10),"",VLOOKUP(G10,Data!$C$5:$D$8,2))</f>
        <v>Hög</v>
      </c>
      <c r="I10" s="39">
        <v>3</v>
      </c>
      <c r="J10" s="26" t="str">
        <f>IF(ISBLANK(I10),"",VLOOKUP(I10,Data!$E$5:$F$8,2))</f>
        <v xml:space="preserve">Betydande </v>
      </c>
      <c r="K10" s="38">
        <f t="shared" si="0"/>
        <v>5</v>
      </c>
      <c r="L10" s="25"/>
    </row>
    <row r="11" spans="1:14" ht="112.5">
      <c r="A11" s="25" t="s">
        <v>7</v>
      </c>
      <c r="B11" s="25" t="s">
        <v>53</v>
      </c>
      <c r="C11" s="25" t="s">
        <v>59</v>
      </c>
      <c r="D11" s="25" t="s">
        <v>75</v>
      </c>
      <c r="E11" s="25" t="s">
        <v>76</v>
      </c>
      <c r="F11" s="25" t="s">
        <v>77</v>
      </c>
      <c r="G11" s="39">
        <v>2</v>
      </c>
      <c r="H11" s="40" t="str">
        <f>IF(ISBLANK(G11),"",VLOOKUP(G11,Data!$C$5:$D$8,2))</f>
        <v>Medelhög</v>
      </c>
      <c r="I11" s="39">
        <v>4</v>
      </c>
      <c r="J11" s="26" t="str">
        <f>IF(ISBLANK(I11),"",VLOOKUP(I11,Data!$E$5:$F$8,2))</f>
        <v>Allvarlig</v>
      </c>
      <c r="K11" s="38">
        <f t="shared" si="0"/>
        <v>5</v>
      </c>
      <c r="L11" s="25"/>
    </row>
    <row r="12" spans="1:14" ht="112.5">
      <c r="A12" s="25" t="s">
        <v>8</v>
      </c>
      <c r="B12" s="25" t="s">
        <v>51</v>
      </c>
      <c r="C12" s="25" t="s">
        <v>60</v>
      </c>
      <c r="D12" s="25" t="s">
        <v>122</v>
      </c>
      <c r="E12" s="25" t="s">
        <v>78</v>
      </c>
      <c r="F12" s="25" t="s">
        <v>79</v>
      </c>
      <c r="G12" s="39">
        <v>1</v>
      </c>
      <c r="H12" s="40" t="str">
        <f>IF(ISBLANK(G12),"",VLOOKUP(G12,Data!$C$5:$D$8,2))</f>
        <v>Låg</v>
      </c>
      <c r="I12" s="39">
        <v>1</v>
      </c>
      <c r="J12" s="26" t="str">
        <f>IF(ISBLANK(I12),"",VLOOKUP(I12,Data!$E$5:$F$8,2))</f>
        <v>Försumbar</v>
      </c>
      <c r="K12" s="38">
        <f t="shared" si="0"/>
        <v>1</v>
      </c>
      <c r="L12" s="25"/>
    </row>
    <row r="13" spans="1:14" ht="112.5">
      <c r="A13" s="25" t="s">
        <v>9</v>
      </c>
      <c r="B13" s="25" t="s">
        <v>49</v>
      </c>
      <c r="C13" s="25" t="s">
        <v>119</v>
      </c>
      <c r="D13" s="25" t="s">
        <v>120</v>
      </c>
      <c r="E13" s="25" t="s">
        <v>121</v>
      </c>
      <c r="F13" s="25" t="s">
        <v>123</v>
      </c>
      <c r="G13" s="27">
        <v>4</v>
      </c>
      <c r="H13" s="26" t="str">
        <f>IF(ISBLANK(G13),"",VLOOKUP(G13,Data!$C$5:$D$8,2))</f>
        <v>Mycket hög</v>
      </c>
      <c r="I13" s="27">
        <v>4</v>
      </c>
      <c r="J13" s="26" t="str">
        <f>IF(ISBLANK(I13),"",VLOOKUP(I13,Data!$E$5:$F$8,2))</f>
        <v>Allvarlig</v>
      </c>
      <c r="K13" s="38">
        <f>IF(ISBLANK(I13),"",G13+I13-1)</f>
        <v>7</v>
      </c>
      <c r="L13" s="25"/>
    </row>
    <row r="14" spans="1:14">
      <c r="A14" s="25" t="s">
        <v>80</v>
      </c>
      <c r="B14" s="25"/>
      <c r="C14" s="25"/>
      <c r="D14" s="25"/>
      <c r="E14" s="25"/>
      <c r="F14" s="25"/>
      <c r="G14" s="27"/>
      <c r="H14" s="26" t="str">
        <f>IF(ISBLANK(G14),"",VLOOKUP(G14,Data!$C$5:$D$8,2))</f>
        <v/>
      </c>
      <c r="I14" s="27"/>
      <c r="J14" s="26" t="str">
        <f>IF(ISBLANK(I14),"",VLOOKUP(I14,Data!$E$5:$F$8,2))</f>
        <v/>
      </c>
      <c r="K14" s="38" t="str">
        <f t="shared" ref="K14:K52" si="1">IF(ISBLANK(I14),"",G14+I14-1)</f>
        <v/>
      </c>
      <c r="L14" s="25"/>
    </row>
    <row r="15" spans="1:14">
      <c r="A15" s="25" t="s">
        <v>81</v>
      </c>
      <c r="B15" s="25"/>
      <c r="C15" s="25"/>
      <c r="D15" s="25"/>
      <c r="E15" s="25"/>
      <c r="F15" s="25"/>
      <c r="G15" s="27"/>
      <c r="H15" s="26" t="str">
        <f>IF(ISBLANK(G15),"",VLOOKUP(G15,Data!$C$5:$D$8,2))</f>
        <v/>
      </c>
      <c r="I15" s="27"/>
      <c r="J15" s="26" t="str">
        <f>IF(ISBLANK(I15),"",VLOOKUP(I15,Data!$E$5:$F$8,2))</f>
        <v/>
      </c>
      <c r="K15" s="38" t="str">
        <f t="shared" si="1"/>
        <v/>
      </c>
      <c r="L15" s="25"/>
      <c r="N15" s="3"/>
    </row>
    <row r="16" spans="1:14">
      <c r="A16" s="25" t="s">
        <v>82</v>
      </c>
      <c r="B16" s="25"/>
      <c r="C16" s="25"/>
      <c r="D16" s="25"/>
      <c r="E16" s="25"/>
      <c r="F16" s="25"/>
      <c r="G16" s="27"/>
      <c r="H16" s="26" t="str">
        <f>IF(ISBLANK(G16),"",VLOOKUP(G16,Data!$C$5:$D$8,2))</f>
        <v/>
      </c>
      <c r="I16" s="27"/>
      <c r="J16" s="26" t="str">
        <f>IF(ISBLANK(I16),"",VLOOKUP(I16,Data!$E$5:$F$8,2))</f>
        <v/>
      </c>
      <c r="K16" s="38" t="str">
        <f t="shared" si="1"/>
        <v/>
      </c>
      <c r="L16" s="25"/>
      <c r="M16" s="28"/>
    </row>
    <row r="17" spans="1:13">
      <c r="A17" s="25" t="s">
        <v>83</v>
      </c>
      <c r="B17" s="25"/>
      <c r="C17" s="25"/>
      <c r="D17" s="25"/>
      <c r="E17" s="25"/>
      <c r="F17" s="25"/>
      <c r="G17" s="27"/>
      <c r="H17" s="26" t="str">
        <f>IF(ISBLANK(G17),"",VLOOKUP(G17,Data!$C$5:$D$8,2))</f>
        <v/>
      </c>
      <c r="I17" s="27"/>
      <c r="J17" s="26" t="str">
        <f>IF(ISBLANK(I17),"",VLOOKUP(I17,Data!$E$5:$F$8,2))</f>
        <v/>
      </c>
      <c r="K17" s="38" t="str">
        <f t="shared" si="1"/>
        <v/>
      </c>
      <c r="L17" s="25"/>
      <c r="M17" s="28"/>
    </row>
    <row r="18" spans="1:13">
      <c r="A18" s="25" t="s">
        <v>84</v>
      </c>
      <c r="B18" s="25"/>
      <c r="C18" s="25"/>
      <c r="D18" s="25"/>
      <c r="E18" s="25"/>
      <c r="F18" s="26"/>
      <c r="G18" s="27"/>
      <c r="H18" s="26" t="str">
        <f>IF(ISBLANK(G18),"",VLOOKUP(G18,Data!$C$5:$D$8,2))</f>
        <v/>
      </c>
      <c r="I18" s="27"/>
      <c r="J18" s="26" t="str">
        <f>IF(ISBLANK(I18),"",VLOOKUP(I18,Data!$E$5:$F$8,2))</f>
        <v/>
      </c>
      <c r="K18" s="38" t="str">
        <f t="shared" si="1"/>
        <v/>
      </c>
      <c r="L18" s="25"/>
      <c r="M18" s="28"/>
    </row>
    <row r="19" spans="1:13">
      <c r="A19" s="25" t="s">
        <v>85</v>
      </c>
      <c r="B19" s="25"/>
      <c r="C19" s="25"/>
      <c r="D19" s="25"/>
      <c r="E19" s="25"/>
      <c r="F19" s="26"/>
      <c r="G19" s="27"/>
      <c r="H19" s="26" t="str">
        <f>IF(ISBLANK(G19),"",VLOOKUP(G19,Data!$C$5:$D$8,2))</f>
        <v/>
      </c>
      <c r="I19" s="27"/>
      <c r="J19" s="26" t="str">
        <f>IF(ISBLANK(I19),"",VLOOKUP(I19,Data!$E$5:$F$8,2))</f>
        <v/>
      </c>
      <c r="K19" s="38" t="str">
        <f t="shared" si="1"/>
        <v/>
      </c>
      <c r="L19" s="25"/>
      <c r="M19" s="29"/>
    </row>
    <row r="20" spans="1:13">
      <c r="A20" s="25" t="s">
        <v>86</v>
      </c>
      <c r="B20" s="25"/>
      <c r="C20" s="25"/>
      <c r="D20" s="25"/>
      <c r="E20" s="25"/>
      <c r="F20" s="26"/>
      <c r="G20" s="27"/>
      <c r="H20" s="26" t="str">
        <f>IF(ISBLANK(G20),"",VLOOKUP(G20,Data!$C$5:$D$8,2))</f>
        <v/>
      </c>
      <c r="I20" s="27"/>
      <c r="J20" s="26" t="str">
        <f>IF(ISBLANK(I20),"",VLOOKUP(I20,Data!$E$5:$F$8,2))</f>
        <v/>
      </c>
      <c r="K20" s="38" t="str">
        <f t="shared" si="1"/>
        <v/>
      </c>
      <c r="L20" s="25"/>
      <c r="M20" s="29"/>
    </row>
    <row r="21" spans="1:13">
      <c r="A21" s="25" t="s">
        <v>87</v>
      </c>
      <c r="B21" s="25"/>
      <c r="C21" s="25"/>
      <c r="D21" s="25"/>
      <c r="E21" s="25"/>
      <c r="F21" s="26"/>
      <c r="G21" s="27"/>
      <c r="H21" s="26" t="str">
        <f>IF(ISBLANK(G21),"",VLOOKUP(G21,Data!$C$5:$D$8,2))</f>
        <v/>
      </c>
      <c r="I21" s="27"/>
      <c r="J21" s="26" t="str">
        <f>IF(ISBLANK(I21),"",VLOOKUP(I21,Data!$E$5:$F$8,2))</f>
        <v/>
      </c>
      <c r="K21" s="38" t="str">
        <f t="shared" si="1"/>
        <v/>
      </c>
      <c r="L21" s="25"/>
      <c r="M21" s="29"/>
    </row>
    <row r="22" spans="1:13">
      <c r="A22" s="25" t="s">
        <v>88</v>
      </c>
      <c r="B22" s="25"/>
      <c r="C22" s="25"/>
      <c r="D22" s="25"/>
      <c r="E22" s="25"/>
      <c r="F22" s="26"/>
      <c r="G22" s="27"/>
      <c r="H22" s="26" t="str">
        <f>IF(ISBLANK(G22),"",VLOOKUP(G22,Data!$C$5:$D$8,2))</f>
        <v/>
      </c>
      <c r="I22" s="27"/>
      <c r="J22" s="26" t="str">
        <f>IF(ISBLANK(I22),"",VLOOKUP(I22,Data!$E$5:$F$8,2))</f>
        <v/>
      </c>
      <c r="K22" s="38" t="str">
        <f t="shared" si="1"/>
        <v/>
      </c>
      <c r="L22" s="25"/>
      <c r="M22" s="29"/>
    </row>
    <row r="23" spans="1:13">
      <c r="A23" s="25" t="s">
        <v>89</v>
      </c>
      <c r="B23" s="25"/>
      <c r="C23" s="25"/>
      <c r="D23" s="25"/>
      <c r="E23" s="25"/>
      <c r="F23" s="26"/>
      <c r="G23" s="27"/>
      <c r="H23" s="26" t="str">
        <f>IF(ISBLANK(G23),"",VLOOKUP(G23,Data!$C$5:$D$8,2))</f>
        <v/>
      </c>
      <c r="I23" s="27"/>
      <c r="J23" s="26" t="str">
        <f>IF(ISBLANK(I23),"",VLOOKUP(I23,Data!$E$5:$F$8,2))</f>
        <v/>
      </c>
      <c r="K23" s="38" t="str">
        <f t="shared" si="1"/>
        <v/>
      </c>
      <c r="L23" s="25"/>
    </row>
    <row r="24" spans="1:13">
      <c r="A24" s="25" t="s">
        <v>90</v>
      </c>
      <c r="B24" s="25"/>
      <c r="C24" s="25"/>
      <c r="D24" s="25"/>
      <c r="E24" s="25"/>
      <c r="F24" s="26"/>
      <c r="G24" s="27"/>
      <c r="H24" s="26" t="str">
        <f>IF(ISBLANK(G24),"",VLOOKUP(G24,Data!$C$5:$D$8,2))</f>
        <v/>
      </c>
      <c r="I24" s="27"/>
      <c r="J24" s="26" t="str">
        <f>IF(ISBLANK(I24),"",VLOOKUP(I24,Data!$E$5:$F$8,2))</f>
        <v/>
      </c>
      <c r="K24" s="38" t="str">
        <f t="shared" si="1"/>
        <v/>
      </c>
      <c r="L24" s="25"/>
    </row>
    <row r="25" spans="1:13">
      <c r="A25" s="25" t="s">
        <v>91</v>
      </c>
      <c r="B25" s="25"/>
      <c r="C25" s="25"/>
      <c r="D25" s="25"/>
      <c r="E25" s="25"/>
      <c r="F25" s="26"/>
      <c r="G25" s="27"/>
      <c r="H25" s="26" t="str">
        <f>IF(ISBLANK(G25),"",VLOOKUP(G25,Data!$C$5:$D$8,2))</f>
        <v/>
      </c>
      <c r="I25" s="27"/>
      <c r="J25" s="26" t="str">
        <f>IF(ISBLANK(I25),"",VLOOKUP(I25,Data!$E$5:$F$8,2))</f>
        <v/>
      </c>
      <c r="K25" s="38" t="str">
        <f t="shared" si="1"/>
        <v/>
      </c>
      <c r="L25" s="25"/>
    </row>
    <row r="26" spans="1:13">
      <c r="A26" s="25" t="s">
        <v>92</v>
      </c>
      <c r="B26" s="25"/>
      <c r="C26" s="25"/>
      <c r="D26" s="25"/>
      <c r="E26" s="25"/>
      <c r="F26" s="26"/>
      <c r="G26" s="27"/>
      <c r="H26" s="26" t="str">
        <f>IF(ISBLANK(G26),"",VLOOKUP(G26,Data!$C$5:$D$8,2))</f>
        <v/>
      </c>
      <c r="I26" s="27"/>
      <c r="J26" s="26" t="str">
        <f>IF(ISBLANK(I26),"",VLOOKUP(I26,Data!$E$5:$F$8,2))</f>
        <v/>
      </c>
      <c r="K26" s="38" t="str">
        <f t="shared" si="1"/>
        <v/>
      </c>
      <c r="L26" s="25"/>
    </row>
    <row r="27" spans="1:13">
      <c r="A27" s="25" t="s">
        <v>93</v>
      </c>
      <c r="B27" s="25"/>
      <c r="C27" s="25"/>
      <c r="D27" s="25"/>
      <c r="E27" s="25"/>
      <c r="F27" s="26"/>
      <c r="G27" s="27"/>
      <c r="H27" s="26" t="str">
        <f>IF(ISBLANK(G27),"",VLOOKUP(G27,Data!$C$5:$D$8,2))</f>
        <v/>
      </c>
      <c r="I27" s="27"/>
      <c r="J27" s="26" t="str">
        <f>IF(ISBLANK(I27),"",VLOOKUP(I27,Data!$E$5:$F$8,2))</f>
        <v/>
      </c>
      <c r="K27" s="38" t="str">
        <f t="shared" si="1"/>
        <v/>
      </c>
      <c r="L27" s="25"/>
    </row>
    <row r="28" spans="1:13">
      <c r="A28" s="25" t="s">
        <v>94</v>
      </c>
      <c r="B28" s="25"/>
      <c r="C28" s="25"/>
      <c r="D28" s="25"/>
      <c r="E28" s="25"/>
      <c r="F28" s="26"/>
      <c r="G28" s="27"/>
      <c r="H28" s="26" t="str">
        <f>IF(ISBLANK(G28),"",VLOOKUP(G28,Data!$C$5:$D$8,2))</f>
        <v/>
      </c>
      <c r="I28" s="27"/>
      <c r="J28" s="26" t="str">
        <f>IF(ISBLANK(I28),"",VLOOKUP(I28,Data!$E$5:$F$8,2))</f>
        <v/>
      </c>
      <c r="K28" s="38" t="str">
        <f t="shared" si="1"/>
        <v/>
      </c>
      <c r="L28" s="25"/>
    </row>
    <row r="29" spans="1:13">
      <c r="A29" s="25" t="s">
        <v>95</v>
      </c>
      <c r="B29" s="25"/>
      <c r="C29" s="25"/>
      <c r="D29" s="25"/>
      <c r="E29" s="25"/>
      <c r="F29" s="26"/>
      <c r="G29" s="27"/>
      <c r="H29" s="26" t="str">
        <f>IF(ISBLANK(G29),"",VLOOKUP(G29,Data!$C$5:$D$8,2))</f>
        <v/>
      </c>
      <c r="I29" s="27"/>
      <c r="J29" s="26" t="str">
        <f>IF(ISBLANK(I29),"",VLOOKUP(I29,Data!$E$5:$F$8,2))</f>
        <v/>
      </c>
      <c r="K29" s="38" t="str">
        <f t="shared" si="1"/>
        <v/>
      </c>
      <c r="L29" s="25"/>
    </row>
    <row r="30" spans="1:13">
      <c r="A30" s="25" t="s">
        <v>96</v>
      </c>
      <c r="B30" s="25"/>
      <c r="C30" s="25"/>
      <c r="D30" s="25"/>
      <c r="E30" s="25"/>
      <c r="F30" s="26"/>
      <c r="G30" s="27"/>
      <c r="H30" s="26" t="str">
        <f>IF(ISBLANK(G30),"",VLOOKUP(G30,Data!$C$5:$D$8,2))</f>
        <v/>
      </c>
      <c r="I30" s="27"/>
      <c r="J30" s="26" t="str">
        <f>IF(ISBLANK(I30),"",VLOOKUP(I30,Data!$E$5:$F$8,2))</f>
        <v/>
      </c>
      <c r="K30" s="38" t="str">
        <f t="shared" si="1"/>
        <v/>
      </c>
      <c r="L30" s="25"/>
    </row>
    <row r="31" spans="1:13">
      <c r="A31" s="25" t="s">
        <v>97</v>
      </c>
      <c r="B31" s="25"/>
      <c r="C31" s="25"/>
      <c r="D31" s="25"/>
      <c r="E31" s="25"/>
      <c r="F31" s="26"/>
      <c r="G31" s="27"/>
      <c r="H31" s="26" t="str">
        <f>IF(ISBLANK(G31),"",VLOOKUP(G31,Data!$C$5:$D$8,2))</f>
        <v/>
      </c>
      <c r="I31" s="27"/>
      <c r="J31" s="26" t="str">
        <f>IF(ISBLANK(I31),"",VLOOKUP(I31,Data!$E$5:$F$8,2))</f>
        <v/>
      </c>
      <c r="K31" s="38" t="str">
        <f t="shared" si="1"/>
        <v/>
      </c>
      <c r="L31" s="25"/>
    </row>
    <row r="32" spans="1:13">
      <c r="A32" s="25" t="s">
        <v>98</v>
      </c>
      <c r="B32" s="25"/>
      <c r="C32" s="25"/>
      <c r="D32" s="25"/>
      <c r="E32" s="25"/>
      <c r="F32" s="26"/>
      <c r="G32" s="27"/>
      <c r="H32" s="26" t="str">
        <f>IF(ISBLANK(G32),"",VLOOKUP(G32,Data!$C$5:$D$8,2))</f>
        <v/>
      </c>
      <c r="I32" s="27"/>
      <c r="J32" s="26" t="str">
        <f>IF(ISBLANK(I32),"",VLOOKUP(I32,Data!$E$5:$F$8,2))</f>
        <v/>
      </c>
      <c r="K32" s="38" t="str">
        <f t="shared" si="1"/>
        <v/>
      </c>
      <c r="L32" s="25"/>
    </row>
    <row r="33" spans="1:12">
      <c r="A33" s="25" t="s">
        <v>99</v>
      </c>
      <c r="B33" s="25"/>
      <c r="C33" s="25"/>
      <c r="D33" s="25"/>
      <c r="E33" s="25"/>
      <c r="F33" s="26"/>
      <c r="G33" s="27"/>
      <c r="H33" s="26" t="str">
        <f>IF(ISBLANK(G33),"",VLOOKUP(G33,Data!$C$5:$D$8,2))</f>
        <v/>
      </c>
      <c r="I33" s="27"/>
      <c r="J33" s="26" t="str">
        <f>IF(ISBLANK(I33),"",VLOOKUP(I33,Data!$E$5:$F$8,2))</f>
        <v/>
      </c>
      <c r="K33" s="38" t="str">
        <f t="shared" si="1"/>
        <v/>
      </c>
      <c r="L33" s="25"/>
    </row>
    <row r="34" spans="1:12">
      <c r="A34" s="25" t="s">
        <v>100</v>
      </c>
      <c r="B34" s="25"/>
      <c r="C34" s="25"/>
      <c r="D34" s="25"/>
      <c r="E34" s="25"/>
      <c r="F34" s="26"/>
      <c r="G34" s="27"/>
      <c r="H34" s="26" t="str">
        <f>IF(ISBLANK(G34),"",VLOOKUP(G34,Data!$C$5:$D$8,2))</f>
        <v/>
      </c>
      <c r="I34" s="27"/>
      <c r="J34" s="26" t="str">
        <f>IF(ISBLANK(I34),"",VLOOKUP(I34,Data!$E$5:$F$8,2))</f>
        <v/>
      </c>
      <c r="K34" s="38" t="str">
        <f t="shared" si="1"/>
        <v/>
      </c>
      <c r="L34" s="25"/>
    </row>
    <row r="35" spans="1:12">
      <c r="A35" s="25" t="s">
        <v>101</v>
      </c>
      <c r="B35" s="25"/>
      <c r="C35" s="25"/>
      <c r="D35" s="25"/>
      <c r="E35" s="25"/>
      <c r="F35" s="26"/>
      <c r="G35" s="27"/>
      <c r="H35" s="26" t="str">
        <f>IF(ISBLANK(G35),"",VLOOKUP(G35,Data!$C$5:$D$8,2))</f>
        <v/>
      </c>
      <c r="I35" s="27"/>
      <c r="J35" s="26" t="str">
        <f>IF(ISBLANK(I35),"",VLOOKUP(I35,Data!$E$5:$F$8,2))</f>
        <v/>
      </c>
      <c r="K35" s="38" t="str">
        <f t="shared" si="1"/>
        <v/>
      </c>
      <c r="L35" s="25"/>
    </row>
    <row r="36" spans="1:12">
      <c r="A36" s="25" t="s">
        <v>102</v>
      </c>
      <c r="B36" s="25"/>
      <c r="C36" s="25"/>
      <c r="D36" s="25"/>
      <c r="E36" s="25"/>
      <c r="F36" s="26"/>
      <c r="G36" s="27"/>
      <c r="H36" s="26" t="str">
        <f>IF(ISBLANK(G36),"",VLOOKUP(G36,Data!$C$5:$D$8,2))</f>
        <v/>
      </c>
      <c r="I36" s="27"/>
      <c r="J36" s="26" t="str">
        <f>IF(ISBLANK(I36),"",VLOOKUP(I36,Data!$E$5:$F$8,2))</f>
        <v/>
      </c>
      <c r="K36" s="38" t="str">
        <f t="shared" si="1"/>
        <v/>
      </c>
      <c r="L36" s="25"/>
    </row>
    <row r="37" spans="1:12">
      <c r="A37" s="25" t="s">
        <v>103</v>
      </c>
      <c r="B37" s="25"/>
      <c r="C37" s="25"/>
      <c r="D37" s="25"/>
      <c r="E37" s="25"/>
      <c r="F37" s="26"/>
      <c r="G37" s="27"/>
      <c r="H37" s="26" t="str">
        <f>IF(ISBLANK(G37),"",VLOOKUP(G37,Data!$C$5:$D$8,2))</f>
        <v/>
      </c>
      <c r="I37" s="27"/>
      <c r="J37" s="26" t="str">
        <f>IF(ISBLANK(I37),"",VLOOKUP(I37,Data!$E$5:$F$8,2))</f>
        <v/>
      </c>
      <c r="K37" s="38" t="str">
        <f t="shared" si="1"/>
        <v/>
      </c>
      <c r="L37" s="25"/>
    </row>
    <row r="38" spans="1:12">
      <c r="A38" s="25" t="s">
        <v>104</v>
      </c>
      <c r="B38" s="25"/>
      <c r="C38" s="25"/>
      <c r="D38" s="25"/>
      <c r="E38" s="25"/>
      <c r="F38" s="26"/>
      <c r="G38" s="27"/>
      <c r="H38" s="26" t="str">
        <f>IF(ISBLANK(G38),"",VLOOKUP(G38,Data!$C$5:$D$8,2))</f>
        <v/>
      </c>
      <c r="I38" s="27"/>
      <c r="J38" s="26" t="str">
        <f>IF(ISBLANK(I38),"",VLOOKUP(I38,Data!$E$5:$F$8,2))</f>
        <v/>
      </c>
      <c r="K38" s="38" t="str">
        <f t="shared" si="1"/>
        <v/>
      </c>
      <c r="L38" s="25"/>
    </row>
    <row r="39" spans="1:12">
      <c r="A39" s="25" t="s">
        <v>105</v>
      </c>
      <c r="B39" s="25"/>
      <c r="C39" s="25"/>
      <c r="D39" s="25"/>
      <c r="E39" s="25"/>
      <c r="F39" s="26"/>
      <c r="G39" s="27"/>
      <c r="H39" s="26" t="str">
        <f>IF(ISBLANK(G39),"",VLOOKUP(G39,Data!$C$5:$D$8,2))</f>
        <v/>
      </c>
      <c r="I39" s="27"/>
      <c r="J39" s="26" t="str">
        <f>IF(ISBLANK(I39),"",VLOOKUP(I39,Data!$E$5:$F$8,2))</f>
        <v/>
      </c>
      <c r="K39" s="38" t="str">
        <f t="shared" si="1"/>
        <v/>
      </c>
      <c r="L39" s="25"/>
    </row>
    <row r="40" spans="1:12">
      <c r="A40" s="25" t="s">
        <v>106</v>
      </c>
      <c r="B40" s="25"/>
      <c r="C40" s="25"/>
      <c r="D40" s="25"/>
      <c r="E40" s="25"/>
      <c r="F40" s="26"/>
      <c r="G40" s="27"/>
      <c r="H40" s="26" t="str">
        <f>IF(ISBLANK(G40),"",VLOOKUP(G40,Data!$C$5:$D$8,2))</f>
        <v/>
      </c>
      <c r="I40" s="27"/>
      <c r="J40" s="26" t="str">
        <f>IF(ISBLANK(I40),"",VLOOKUP(I40,Data!$E$5:$F$8,2))</f>
        <v/>
      </c>
      <c r="K40" s="38" t="str">
        <f t="shared" si="1"/>
        <v/>
      </c>
      <c r="L40" s="25"/>
    </row>
    <row r="41" spans="1:12">
      <c r="A41" s="25" t="s">
        <v>107</v>
      </c>
      <c r="B41" s="25"/>
      <c r="C41" s="25"/>
      <c r="D41" s="25"/>
      <c r="E41" s="25"/>
      <c r="F41" s="26"/>
      <c r="G41" s="27"/>
      <c r="H41" s="26" t="str">
        <f>IF(ISBLANK(G41),"",VLOOKUP(G41,Data!$C$5:$D$8,2))</f>
        <v/>
      </c>
      <c r="I41" s="27"/>
      <c r="J41" s="26" t="str">
        <f>IF(ISBLANK(I41),"",VLOOKUP(I41,Data!$E$5:$F$8,2))</f>
        <v/>
      </c>
      <c r="K41" s="38" t="str">
        <f t="shared" si="1"/>
        <v/>
      </c>
      <c r="L41" s="25"/>
    </row>
    <row r="42" spans="1:12">
      <c r="A42" s="25" t="s">
        <v>108</v>
      </c>
      <c r="B42" s="25"/>
      <c r="C42" s="25"/>
      <c r="D42" s="25"/>
      <c r="E42" s="25"/>
      <c r="F42" s="26"/>
      <c r="G42" s="27"/>
      <c r="H42" s="26" t="str">
        <f>IF(ISBLANK(G42),"",VLOOKUP(G42,Data!$C$5:$D$8,2))</f>
        <v/>
      </c>
      <c r="I42" s="27"/>
      <c r="J42" s="26" t="str">
        <f>IF(ISBLANK(I42),"",VLOOKUP(I42,Data!$E$5:$F$8,2))</f>
        <v/>
      </c>
      <c r="K42" s="38" t="str">
        <f t="shared" si="1"/>
        <v/>
      </c>
      <c r="L42" s="25"/>
    </row>
    <row r="43" spans="1:12">
      <c r="A43" s="25" t="s">
        <v>109</v>
      </c>
      <c r="B43" s="25"/>
      <c r="C43" s="25"/>
      <c r="D43" s="25"/>
      <c r="E43" s="25"/>
      <c r="F43" s="26"/>
      <c r="G43" s="27"/>
      <c r="H43" s="26" t="str">
        <f>IF(ISBLANK(G43),"",VLOOKUP(G43,Data!$C$5:$D$8,2))</f>
        <v/>
      </c>
      <c r="I43" s="27"/>
      <c r="J43" s="26" t="str">
        <f>IF(ISBLANK(I43),"",VLOOKUP(I43,Data!$E$5:$F$8,2))</f>
        <v/>
      </c>
      <c r="K43" s="38" t="str">
        <f t="shared" si="1"/>
        <v/>
      </c>
      <c r="L43" s="25"/>
    </row>
    <row r="44" spans="1:12">
      <c r="A44" s="25" t="s">
        <v>110</v>
      </c>
      <c r="B44" s="25"/>
      <c r="C44" s="25"/>
      <c r="D44" s="25"/>
      <c r="E44" s="25"/>
      <c r="F44" s="26"/>
      <c r="G44" s="27"/>
      <c r="H44" s="26" t="str">
        <f>IF(ISBLANK(G44),"",VLOOKUP(G44,Data!$C$5:$D$8,2))</f>
        <v/>
      </c>
      <c r="I44" s="27"/>
      <c r="J44" s="26" t="str">
        <f>IF(ISBLANK(I44),"",VLOOKUP(I44,Data!$E$5:$F$8,2))</f>
        <v/>
      </c>
      <c r="K44" s="38" t="str">
        <f t="shared" si="1"/>
        <v/>
      </c>
      <c r="L44" s="25"/>
    </row>
    <row r="45" spans="1:12">
      <c r="A45" s="25" t="s">
        <v>111</v>
      </c>
      <c r="B45" s="25"/>
      <c r="C45" s="25"/>
      <c r="D45" s="25"/>
      <c r="E45" s="25"/>
      <c r="F45" s="26"/>
      <c r="G45" s="27"/>
      <c r="H45" s="26" t="str">
        <f>IF(ISBLANK(G45),"",VLOOKUP(G45,Data!$C$5:$D$8,2))</f>
        <v/>
      </c>
      <c r="I45" s="27"/>
      <c r="J45" s="26" t="str">
        <f>IF(ISBLANK(I45),"",VLOOKUP(I45,Data!$E$5:$F$8,2))</f>
        <v/>
      </c>
      <c r="K45" s="38" t="str">
        <f t="shared" si="1"/>
        <v/>
      </c>
      <c r="L45" s="25"/>
    </row>
    <row r="46" spans="1:12">
      <c r="A46" s="25" t="s">
        <v>112</v>
      </c>
      <c r="B46" s="25"/>
      <c r="C46" s="25"/>
      <c r="D46" s="25"/>
      <c r="E46" s="25"/>
      <c r="F46" s="26"/>
      <c r="G46" s="27"/>
      <c r="H46" s="26" t="str">
        <f>IF(ISBLANK(G46),"",VLOOKUP(G46,Data!$C$5:$D$8,2))</f>
        <v/>
      </c>
      <c r="I46" s="27"/>
      <c r="J46" s="26" t="str">
        <f>IF(ISBLANK(I46),"",VLOOKUP(I46,Data!$E$5:$F$8,2))</f>
        <v/>
      </c>
      <c r="K46" s="38" t="str">
        <f t="shared" si="1"/>
        <v/>
      </c>
      <c r="L46" s="25"/>
    </row>
    <row r="47" spans="1:12">
      <c r="A47" s="25" t="s">
        <v>113</v>
      </c>
      <c r="B47" s="25"/>
      <c r="C47" s="25"/>
      <c r="D47" s="25"/>
      <c r="E47" s="25"/>
      <c r="F47" s="26"/>
      <c r="G47" s="27"/>
      <c r="H47" s="26" t="str">
        <f>IF(ISBLANK(G47),"",VLOOKUP(G47,Data!$C$5:$D$8,2))</f>
        <v/>
      </c>
      <c r="I47" s="27"/>
      <c r="J47" s="26" t="str">
        <f>IF(ISBLANK(I47),"",VLOOKUP(I47,Data!$E$5:$F$8,2))</f>
        <v/>
      </c>
      <c r="K47" s="38" t="str">
        <f t="shared" si="1"/>
        <v/>
      </c>
      <c r="L47" s="25"/>
    </row>
    <row r="48" spans="1:12">
      <c r="A48" s="25" t="s">
        <v>114</v>
      </c>
      <c r="B48" s="25"/>
      <c r="C48" s="25"/>
      <c r="D48" s="25"/>
      <c r="E48" s="25"/>
      <c r="F48" s="26"/>
      <c r="G48" s="27"/>
      <c r="H48" s="26" t="str">
        <f>IF(ISBLANK(G48),"",VLOOKUP(G48,Data!$C$5:$D$8,2))</f>
        <v/>
      </c>
      <c r="I48" s="27"/>
      <c r="J48" s="26" t="str">
        <f>IF(ISBLANK(I48),"",VLOOKUP(I48,Data!$E$5:$F$8,2))</f>
        <v/>
      </c>
      <c r="K48" s="38" t="str">
        <f t="shared" si="1"/>
        <v/>
      </c>
      <c r="L48" s="25"/>
    </row>
    <row r="49" spans="1:12">
      <c r="A49" s="25" t="s">
        <v>115</v>
      </c>
      <c r="B49" s="25"/>
      <c r="C49" s="25"/>
      <c r="D49" s="25"/>
      <c r="E49" s="25"/>
      <c r="F49" s="26"/>
      <c r="G49" s="27"/>
      <c r="H49" s="26" t="str">
        <f>IF(ISBLANK(G49),"",VLOOKUP(G49,Data!$C$5:$D$8,2))</f>
        <v/>
      </c>
      <c r="I49" s="27"/>
      <c r="J49" s="26" t="str">
        <f>IF(ISBLANK(I49),"",VLOOKUP(I49,Data!$E$5:$F$8,2))</f>
        <v/>
      </c>
      <c r="K49" s="38" t="str">
        <f t="shared" si="1"/>
        <v/>
      </c>
      <c r="L49" s="25"/>
    </row>
    <row r="50" spans="1:12">
      <c r="A50" s="25" t="s">
        <v>116</v>
      </c>
      <c r="B50" s="25"/>
      <c r="C50" s="25"/>
      <c r="D50" s="25"/>
      <c r="E50" s="25"/>
      <c r="F50" s="26"/>
      <c r="G50" s="27"/>
      <c r="H50" s="26" t="str">
        <f>IF(ISBLANK(G50),"",VLOOKUP(G50,Data!$C$5:$D$8,2))</f>
        <v/>
      </c>
      <c r="I50" s="27"/>
      <c r="J50" s="26" t="str">
        <f>IF(ISBLANK(I50),"",VLOOKUP(I50,Data!$E$5:$F$8,2))</f>
        <v/>
      </c>
      <c r="K50" s="38" t="str">
        <f t="shared" si="1"/>
        <v/>
      </c>
      <c r="L50" s="25"/>
    </row>
    <row r="51" spans="1:12">
      <c r="A51" s="25" t="s">
        <v>117</v>
      </c>
      <c r="B51" s="25"/>
      <c r="C51" s="25"/>
      <c r="D51" s="25"/>
      <c r="E51" s="25"/>
      <c r="F51" s="26"/>
      <c r="G51" s="27"/>
      <c r="H51" s="26" t="str">
        <f>IF(ISBLANK(G51),"",VLOOKUP(G51,Data!$C$5:$D$8,2))</f>
        <v/>
      </c>
      <c r="I51" s="27"/>
      <c r="J51" s="26" t="str">
        <f>IF(ISBLANK(I51),"",VLOOKUP(I51,Data!$E$5:$F$8,2))</f>
        <v/>
      </c>
      <c r="K51" s="38" t="str">
        <f t="shared" si="1"/>
        <v/>
      </c>
      <c r="L51" s="25"/>
    </row>
    <row r="52" spans="1:12">
      <c r="A52" s="25" t="s">
        <v>118</v>
      </c>
      <c r="B52" s="25"/>
      <c r="C52" s="25"/>
      <c r="D52" s="25"/>
      <c r="E52" s="25"/>
      <c r="F52" s="26"/>
      <c r="G52" s="27"/>
      <c r="H52" s="26" t="str">
        <f>IF(ISBLANK(G52),"",VLOOKUP(G52,Data!$C$5:$D$8,2))</f>
        <v/>
      </c>
      <c r="I52" s="27"/>
      <c r="J52" s="26" t="str">
        <f>IF(ISBLANK(I52),"",VLOOKUP(I52,Data!$E$5:$F$8,2))</f>
        <v/>
      </c>
      <c r="K52" s="38" t="str">
        <f t="shared" si="1"/>
        <v/>
      </c>
      <c r="L52" s="25"/>
    </row>
  </sheetData>
  <mergeCells count="2">
    <mergeCell ref="G4:H4"/>
    <mergeCell ref="I4:J4"/>
  </mergeCells>
  <phoneticPr fontId="13" type="noConversion"/>
  <conditionalFormatting sqref="G6:G52">
    <cfRule type="containsText" dxfId="32" priority="5" operator="containsText" text="4">
      <formula>NOT(ISERROR(SEARCH("4",G6)))</formula>
    </cfRule>
    <cfRule type="cellIs" dxfId="31" priority="43" operator="equal">
      <formula>3</formula>
    </cfRule>
    <cfRule type="cellIs" dxfId="30" priority="44" operator="equal">
      <formula>2</formula>
    </cfRule>
    <cfRule type="cellIs" dxfId="29" priority="47" operator="equal">
      <formula>1</formula>
    </cfRule>
  </conditionalFormatting>
  <conditionalFormatting sqref="H6">
    <cfRule type="containsText" dxfId="28" priority="42" operator="containsText" text="Mycket hög">
      <formula>NOT(ISERROR(SEARCH("Mycket hög",H6)))</formula>
    </cfRule>
  </conditionalFormatting>
  <conditionalFormatting sqref="H6:H52">
    <cfRule type="containsText" dxfId="27" priority="1" operator="containsText" text="Mycket hög">
      <formula>NOT(ISERROR(SEARCH("Mycket hög",H6)))</formula>
    </cfRule>
    <cfRule type="containsText" dxfId="26" priority="2" operator="containsText" text="Låg">
      <formula>NOT(ISERROR(SEARCH("Låg",H6)))</formula>
    </cfRule>
    <cfRule type="containsText" dxfId="25" priority="3" operator="containsText" text="Medelhög">
      <formula>NOT(ISERROR(SEARCH("Medelhög",H6)))</formula>
    </cfRule>
    <cfRule type="containsText" dxfId="24" priority="4" operator="containsText" text="Hög">
      <formula>NOT(ISERROR(SEARCH("Hög",H6)))</formula>
    </cfRule>
    <cfRule type="containsText" dxfId="23" priority="21" operator="containsText" text="Mycket hög">
      <formula>NOT(ISERROR(SEARCH("Mycket hög",H6)))</formula>
    </cfRule>
    <cfRule type="containsText" dxfId="22" priority="35" operator="containsText" text="Hög">
      <formula>NOT(ISERROR(SEARCH("Hög",H6)))</formula>
    </cfRule>
    <cfRule type="containsText" dxfId="21" priority="36" operator="containsText" text="Medelhög">
      <formula>NOT(ISERROR(SEARCH("Medelhög",H6)))</formula>
    </cfRule>
    <cfRule type="containsText" dxfId="20" priority="37" operator="containsText" text="Låg">
      <formula>NOT(ISERROR(SEARCH("Låg",H6)))</formula>
    </cfRule>
  </conditionalFormatting>
  <conditionalFormatting sqref="H9">
    <cfRule type="containsText" dxfId="19" priority="18" operator="containsText" text="Medelhög">
      <formula>NOT(ISERROR(SEARCH("Medelhög",H9)))</formula>
    </cfRule>
    <cfRule type="containsText" dxfId="18" priority="19" operator="containsText" text="Låg">
      <formula>NOT(ISERROR(SEARCH("Låg",H9)))</formula>
    </cfRule>
    <cfRule type="containsText" dxfId="17" priority="20" operator="containsText" text="Hög">
      <formula>NOT(ISERROR(SEARCH("Hög",H9)))</formula>
    </cfRule>
  </conditionalFormatting>
  <conditionalFormatting sqref="I6:I52">
    <cfRule type="cellIs" dxfId="16" priority="38" operator="equal">
      <formula>4</formula>
    </cfRule>
    <cfRule type="cellIs" dxfId="15" priority="39" operator="equal">
      <formula>3</formula>
    </cfRule>
    <cfRule type="cellIs" dxfId="14" priority="40" operator="equal">
      <formula>2</formula>
    </cfRule>
    <cfRule type="cellIs" dxfId="13" priority="41" operator="equal">
      <formula>1</formula>
    </cfRule>
  </conditionalFormatting>
  <conditionalFormatting sqref="J6:J52">
    <cfRule type="containsText" dxfId="12" priority="71" operator="containsText" text="Måttlig">
      <formula>NOT(ISERROR(SEARCH("Måttlig",J6)))</formula>
    </cfRule>
    <cfRule type="containsText" dxfId="11" priority="72" operator="containsText" text="Försumbar">
      <formula>NOT(ISERROR(SEARCH("Försumbar",J6)))</formula>
    </cfRule>
    <cfRule type="containsText" dxfId="10" priority="73" operator="containsText" text="Betydande">
      <formula>NOT(ISERROR(SEARCH("Betydande",J6)))</formula>
    </cfRule>
    <cfRule type="containsText" dxfId="9" priority="74" operator="containsText" text="Allvarlig">
      <formula>NOT(ISERROR(SEARCH("Allvarlig",J6)))</formula>
    </cfRule>
  </conditionalFormatting>
  <conditionalFormatting sqref="K6:K52">
    <cfRule type="containsText" dxfId="8" priority="48" operator="containsText" text="7">
      <formula>NOT(ISERROR(SEARCH("7",K6)))</formula>
    </cfRule>
    <cfRule type="containsText" dxfId="7" priority="49" operator="containsText" text="6">
      <formula>NOT(ISERROR(SEARCH("6",K6)))</formula>
    </cfRule>
    <cfRule type="containsText" dxfId="6" priority="66" operator="containsText" text="5">
      <formula>NOT(ISERROR(SEARCH("5",K6)))</formula>
    </cfRule>
    <cfRule type="containsText" dxfId="5" priority="67" operator="containsText" text="4">
      <formula>NOT(ISERROR(SEARCH("4",K6)))</formula>
    </cfRule>
    <cfRule type="containsText" dxfId="4" priority="68" operator="containsText" text="3">
      <formula>NOT(ISERROR(SEARCH("3",K6)))</formula>
    </cfRule>
    <cfRule type="containsText" dxfId="3" priority="69" operator="containsText" text="2">
      <formula>NOT(ISERROR(SEARCH("2",K6)))</formula>
    </cfRule>
    <cfRule type="containsText" dxfId="2" priority="70" operator="containsText" text="1">
      <formula>NOT(ISERROR(SEARCH("1",K6)))</formula>
    </cfRule>
  </conditionalFormatting>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3"/>
  <dimension ref="B2:J22"/>
  <sheetViews>
    <sheetView topLeftCell="A4" workbookViewId="0">
      <selection activeCell="AD26" sqref="AD26"/>
    </sheetView>
  </sheetViews>
  <sheetFormatPr defaultColWidth="10.875" defaultRowHeight="18.75"/>
  <cols>
    <col min="1" max="1" width="10.875" style="1"/>
    <col min="2" max="2" width="12.875" style="1" customWidth="1"/>
    <col min="3" max="3" width="5" style="1" customWidth="1"/>
    <col min="4" max="4" width="17.125" style="1" customWidth="1"/>
    <col min="5" max="5" width="4.625" style="1" customWidth="1"/>
    <col min="6" max="6" width="17" style="1" customWidth="1"/>
    <col min="7" max="7" width="3.125" style="1" customWidth="1"/>
    <col min="8" max="8" width="10.875" style="1"/>
    <col min="9" max="9" width="3.375" style="1" customWidth="1"/>
    <col min="10" max="16384" width="10.875" style="1"/>
  </cols>
  <sheetData>
    <row r="2" spans="2:10">
      <c r="B2" s="2" t="s">
        <v>0</v>
      </c>
    </row>
    <row r="4" spans="2:10" ht="48.6" customHeight="1">
      <c r="B4" s="2"/>
      <c r="C4" s="2"/>
      <c r="D4" s="2" t="s">
        <v>10</v>
      </c>
      <c r="E4" s="2"/>
      <c r="F4" s="2" t="s">
        <v>11</v>
      </c>
      <c r="H4" s="2"/>
      <c r="J4" s="2"/>
    </row>
    <row r="5" spans="2:10">
      <c r="C5" s="1">
        <v>1</v>
      </c>
      <c r="D5" s="1" t="s">
        <v>12</v>
      </c>
      <c r="E5" s="1">
        <v>1</v>
      </c>
      <c r="F5" s="1" t="s">
        <v>25</v>
      </c>
    </row>
    <row r="6" spans="2:10">
      <c r="C6" s="1">
        <v>2</v>
      </c>
      <c r="D6" s="1" t="s">
        <v>19</v>
      </c>
      <c r="E6" s="1">
        <v>2</v>
      </c>
      <c r="F6" s="35" t="s">
        <v>24</v>
      </c>
    </row>
    <row r="7" spans="2:10">
      <c r="C7" s="1">
        <v>3</v>
      </c>
      <c r="D7" s="1" t="s">
        <v>18</v>
      </c>
      <c r="E7" s="1">
        <v>3</v>
      </c>
      <c r="F7" s="35" t="s">
        <v>30</v>
      </c>
    </row>
    <row r="8" spans="2:10">
      <c r="C8" s="1">
        <v>4</v>
      </c>
      <c r="D8" s="1" t="s">
        <v>17</v>
      </c>
      <c r="E8" s="1">
        <v>4</v>
      </c>
      <c r="F8" s="35" t="s">
        <v>13</v>
      </c>
    </row>
    <row r="22" spans="6:8">
      <c r="F22" s="2"/>
      <c r="H22" s="2"/>
    </row>
  </sheetData>
  <conditionalFormatting sqref="B6">
    <cfRule type="containsText" dxfId="1" priority="2" operator="containsText" text="Ja">
      <formula>NOT(ISERROR(SEARCH("Ja",B6)))</formula>
    </cfRule>
  </conditionalFormatting>
  <conditionalFormatting sqref="F24">
    <cfRule type="containsText" dxfId="0" priority="1" operator="containsText" text="Ja">
      <formula>NOT(ISERROR(SEARCH("Ja",F24)))</formula>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9d21a34-e7ae-4e9c-84b6-6a2dfc5099e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1A99E86E3941945A234375200FE3F4C" ma:contentTypeVersion="11" ma:contentTypeDescription="Create a new document." ma:contentTypeScope="" ma:versionID="91a0901c31ee2a9707487ee5a6622597">
  <xsd:schema xmlns:xsd="http://www.w3.org/2001/XMLSchema" xmlns:xs="http://www.w3.org/2001/XMLSchema" xmlns:p="http://schemas.microsoft.com/office/2006/metadata/properties" xmlns:ns2="99d21a34-e7ae-4e9c-84b6-6a2dfc5099e9" targetNamespace="http://schemas.microsoft.com/office/2006/metadata/properties" ma:root="true" ma:fieldsID="199eda0f697354c0b39f10e72f72cb3c" ns2:_="">
    <xsd:import namespace="99d21a34-e7ae-4e9c-84b6-6a2dfc5099e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d21a34-e7ae-4e9c-84b6-6a2dfc5099e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efd87c23-3b26-4c21-8b68-2b726711386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DateTaken" ma:index="17" nillable="true" ma:displayName="MediaServiceDateTaken" ma:descriptio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F3C1ED-2C92-4A26-AED3-E78B6E6FCEFD}">
  <ds:schemaRefs>
    <ds:schemaRef ds:uri="http://purl.org/dc/elements/1.1/"/>
    <ds:schemaRef ds:uri="http://schemas.microsoft.com/office/2006/metadata/properties"/>
    <ds:schemaRef ds:uri="94da96c5-e677-46fc-9951-f0dd38538401"/>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C050609F-A72E-4221-9818-AA4005959C28}"/>
</file>

<file path=customXml/itemProps3.xml><?xml version="1.0" encoding="utf-8"?>
<ds:datastoreItem xmlns:ds="http://schemas.openxmlformats.org/officeDocument/2006/customXml" ds:itemID="{1B7DA3CF-8BDA-4A20-86CC-56C89842DDE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0 Manual</vt:lpstr>
      <vt:lpstr>Studentdata</vt:lpstr>
      <vt:lpstr>Risknivåer</vt:lpstr>
      <vt:lpstr>Riskregister</vt:lpstr>
      <vt:lpstr>Data</vt:lpstr>
    </vt:vector>
  </TitlesOfParts>
  <Company>Visente Information Security AB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Microsoft Office-användare</dc:creator>
  <cp:lastModifiedBy>Diala Badra</cp:lastModifiedBy>
  <cp:lastPrinted>2021-11-02T12:23:09Z</cp:lastPrinted>
  <dcterms:created xsi:type="dcterms:W3CDTF">2016-11-10T13:42:25Z</dcterms:created>
  <dcterms:modified xsi:type="dcterms:W3CDTF">2026-10-09T20:29:56Z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0x010100E1A99E86E3941945A234375200FE3F4C</vt:lpwstr>
  </property>
  <property fmtid="{D5CDD505-2E9C-101B-9397-08002B2CF9AE}" pid="3" name="MSB_SiteBusinessProcess">
    <vt:lpwstr>1;#Standard|42db7290-f92b-446b-999c-1bee6d848af0</vt:lpwstr>
  </property>
  <property fmtid="{D5CDD505-2E9C-101B-9397-08002B2CF9AE}" pid="4" name="MSB_DocumentType">
    <vt:lpwstr/>
  </property>
</Properties>
</file>