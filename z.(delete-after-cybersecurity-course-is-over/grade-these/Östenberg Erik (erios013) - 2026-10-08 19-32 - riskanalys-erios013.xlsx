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C:\Users\lklf6rg\Downloads\"/>
    </mc:Choice>
  </mc:AlternateContent>
  <xr:revisionPtr revIDLastSave="0" documentId="8_{5FA9FFA6-4F77-46D2-882F-23272918163A}" xr6:coauthVersionLast="47" xr6:coauthVersionMax="47" xr10:uidLastSave="{00000000-0000-0000-0000-000000000000}"/>
  <bookViews>
    <workbookView xWindow="120" yWindow="20" windowWidth="19080" windowHeight="10060" tabRatio="500" activeTab="2" xr2:uid="{00000000-000D-0000-FFFF-FFFF00000000}"/>
  </bookViews>
  <sheets>
    <sheet name="0 Manual" sheetId="7" r:id="rId1"/>
    <sheet name="Studentdata" sheetId="9" r:id="rId2"/>
    <sheet name="Riskregister" sheetId="1" r:id="rId3"/>
    <sheet name="Risknivåer" sheetId="8" r:id="rId4"/>
    <sheet name="Data" sheetId="3" r:id="rId5"/>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7" i="1" l="1"/>
  <c r="K10" i="1"/>
  <c r="K9" i="1"/>
  <c r="K8" i="1"/>
  <c r="K7" i="1"/>
  <c r="K6" i="1"/>
  <c r="H6" i="1"/>
  <c r="H7" i="1"/>
  <c r="H8" i="1"/>
  <c r="H9" i="1"/>
  <c r="H10" i="1"/>
  <c r="H11" i="1"/>
  <c r="H12" i="1"/>
  <c r="H13" i="1"/>
  <c r="H14" i="1"/>
  <c r="H15" i="1"/>
  <c r="H16" i="1"/>
  <c r="J9" i="1"/>
  <c r="J10" i="1"/>
  <c r="J8" i="1"/>
  <c r="J6" i="1"/>
  <c r="J11" i="1"/>
  <c r="J12" i="1"/>
  <c r="J13" i="1"/>
  <c r="J14" i="1"/>
  <c r="J15" i="1"/>
  <c r="J16" i="1"/>
  <c r="K11" i="1"/>
  <c r="K12" i="1"/>
  <c r="K13" i="1"/>
  <c r="K14" i="1"/>
  <c r="K16" i="1"/>
  <c r="K15" i="1"/>
</calcChain>
</file>

<file path=xl/sharedStrings.xml><?xml version="1.0" encoding="utf-8"?>
<sst xmlns="http://schemas.openxmlformats.org/spreadsheetml/2006/main" count="144" uniqueCount="121">
  <si>
    <t>Detta ark används av Excel för att hämta uppgifter som används i de andra kalkylarken. Normalt sett behöver ni inte ändra här.</t>
  </si>
  <si>
    <t>ID</t>
  </si>
  <si>
    <t>Risk-001</t>
  </si>
  <si>
    <t>Risk-002</t>
  </si>
  <si>
    <t>Risk-003</t>
  </si>
  <si>
    <t>Risk-004</t>
  </si>
  <si>
    <t>Risk-005</t>
  </si>
  <si>
    <t>Risk-006</t>
  </si>
  <si>
    <t>Risk-007</t>
  </si>
  <si>
    <t>Risk-008</t>
  </si>
  <si>
    <t>Risk-009</t>
  </si>
  <si>
    <t>Risk-010</t>
  </si>
  <si>
    <t>Risk-011</t>
  </si>
  <si>
    <t>Sannolikhet</t>
  </si>
  <si>
    <t>Konsekvens</t>
  </si>
  <si>
    <t>Låg</t>
  </si>
  <si>
    <t>Allvarlig</t>
  </si>
  <si>
    <t>Kommentar</t>
  </si>
  <si>
    <t>Analys Risk - Riskregister</t>
  </si>
  <si>
    <t>Konsekvensbeskrivning</t>
  </si>
  <si>
    <t>Mycket hög</t>
  </si>
  <si>
    <t>Hög</t>
  </si>
  <si>
    <t>Medelhög</t>
  </si>
  <si>
    <t>Betydande</t>
  </si>
  <si>
    <t>Orsaksbeskrivning</t>
  </si>
  <si>
    <t>Riskmatris</t>
  </si>
  <si>
    <t>Risknivåer</t>
  </si>
  <si>
    <t>Måttlig</t>
  </si>
  <si>
    <t>Försumbar</t>
  </si>
  <si>
    <t>Ekonomisk förlust</t>
  </si>
  <si>
    <t>Minskat förtroende</t>
  </si>
  <si>
    <t>Avbrott i verksamheten</t>
  </si>
  <si>
    <t>Risknivå</t>
  </si>
  <si>
    <t xml:space="preserve">Betydande </t>
  </si>
  <si>
    <t>Konsekvensnivåer</t>
  </si>
  <si>
    <t>Sannolikhetsnivåer</t>
  </si>
  <si>
    <t>Värde S 1-4</t>
  </si>
  <si>
    <t>Värde K 1-4</t>
  </si>
  <si>
    <t>Sannolikhetsnivå</t>
  </si>
  <si>
    <t>Konsekvensnivå</t>
  </si>
  <si>
    <t>Tillgång</t>
  </si>
  <si>
    <t>Riskscenario</t>
  </si>
  <si>
    <t>LiU-ID</t>
  </si>
  <si>
    <t>Namn</t>
  </si>
  <si>
    <t>Bristande regelefterlevnad</t>
  </si>
  <si>
    <t>Erik Östenberg</t>
  </si>
  <si>
    <t>erios013</t>
  </si>
  <si>
    <t>Egenskap</t>
  </si>
  <si>
    <t>Databas</t>
  </si>
  <si>
    <t>Konfidentialitet</t>
  </si>
  <si>
    <t>Integritet</t>
  </si>
  <si>
    <t>Tillgänglighet</t>
  </si>
  <si>
    <t>Kundhantering</t>
  </si>
  <si>
    <t>Fakturasystem</t>
  </si>
  <si>
    <t>Molntjänst</t>
  </si>
  <si>
    <t>Kontorsenhet</t>
  </si>
  <si>
    <t>Extern enhet</t>
  </si>
  <si>
    <t>Fakturauppgifter manipuleras innan fakturor skickas.</t>
  </si>
  <si>
    <t>Ett inmatningsfält i webbapplikationen är sårbart för SQL-injektion, vilket gör att en angripare kan manipulera data i faktureringsdatabasen.</t>
  </si>
  <si>
    <t>Kund- och leverantörsfakturor kan få felaktiga belopp, vilket kan orsaka ekonomiska förluster och felaktiga betalningar.</t>
  </si>
  <si>
    <t>Angripare får obehörig åtkomst till kunduppgifter.</t>
  </si>
  <si>
    <t>Ett inmatningsfält i webbapplikationen är sårbart för SQL-injektion, vilket gör att en angripare kan läsa data ur databasen.</t>
  </si>
  <si>
    <t>Kund- och leverantörsuppgifter exponeras för obehöriga och kan missbrukas eller spridas vidare.</t>
  </si>
  <si>
    <t>Leveransdatabasen blir otillgänglig på grund av överbelastning.</t>
  </si>
  <si>
    <t>Ett komprometterat administratörskonto används för att skapa eller manipulera kundärenden så att falsk information framstår som legitim.</t>
  </si>
  <si>
    <t>Angripare får obehörig åtkomst till delar av kundregistret.</t>
  </si>
  <si>
    <t>AI-kundserviceagenten i betatestning är sårbar för promptinjektion, vilket kan få agenten att lämna ut information som angriparen inte har behörighet att få tillgång till.</t>
  </si>
  <si>
    <t>Kunduppgifter exponeras för obehöriga och kan missbrukas eller spridas vidare till tredje part.</t>
  </si>
  <si>
    <t>En användare med administratörsrättigheter klickar på ett phishingmejl, vilket leder till att ransomware installeras och sprids till fakturasystemet.</t>
  </si>
  <si>
    <t>Fakturor kan inte skickas till kunder eller leverantörer. Historisk faktureringsdata kan dessutom gå förlorad om säkerhetskopiering saknas eller inte kan återställas.</t>
  </si>
  <si>
    <t>Fakturasystemet blir otillgängligt efter en zero-day-attack.</t>
  </si>
  <si>
    <t>En zero-day-sårbarhet i fakturasystemet utnyttjas och systemet behöver stängas ned tills leverantören har tagit fram en säkerhetsuppdatering.</t>
  </si>
  <si>
    <t>Fakturor kan inte skickas till kunder eller leverantörer under tiden systemet är otillgängligt.</t>
  </si>
  <si>
    <t>Angripare avlyssnar kundinformation under kommunikationen med molntjänsten.</t>
  </si>
  <si>
    <t>Molntjänsten blir otillgänglig efter en omfattande malwareinfektion hos leverantören.</t>
  </si>
  <si>
    <t>Angripare får åtkomst till känslig information via en komprometterad administratörsklient.</t>
  </si>
  <si>
    <t>En konsult med behörig åtkomst till kunduppgifter lämnar ut uppgifter till en obehörig part.</t>
  </si>
  <si>
    <t>Fakturafiler och historisk faktureringsdata krypteras och fakturasystemet blir otillgängligt efter en ransomware-attack.</t>
  </si>
  <si>
    <t>En DDoS-attack eller en stor mängd resurskrävande förfrågningar mot webbapplikationen överbelastar databasen. Applikationen saknar begränsning av antalet anrop (rate limiting) och skydd mot överbelastningsattacker.</t>
  </si>
  <si>
    <t>Leveransuppgifter kan inte nås av speditörer, vilket förhindrar eller försenar leveranser till kunder. Det kan leda till missnöjda kunder och uteblivna intäkter.</t>
  </si>
  <si>
    <t>Möjliga åtgärder: rate limiting, DDoS-skydd, övervakning av databasbelastning.</t>
  </si>
  <si>
    <t>Administratörens inloggningsuppgifter har komprometterats genom phishing eller återanvänt lösenord, och multifaktorautentisering (MFA) saknas. Angriparen kan därför autentisera sig som administratören i ärendehanteringssystemet (spoofing).</t>
  </si>
  <si>
    <t>Manipulerade ärenden kan leda till att personal utför felaktiga åtgärder, missar legitima ärenden eller fattar beslut baserade på felaktig information. Det är svårt att i efterhand avgöra vilka ärenden som är manipulerade.</t>
  </si>
  <si>
    <t>En man-in-the-middle-attack möjliggörs av svag eller felkonfigurerad TLS-kryptering, bristande certifikatvalidering eller användning av osäkra nätverk, till exempel publika wifi-nätverk.</t>
  </si>
  <si>
    <t>Kunduppgifter och inloggningsuppgifter kan avlyssnas och missbrukas eller spridas vidare. Det kan även utgöra en personuppgiftsincident enligt GDPR.</t>
  </si>
  <si>
    <t>Möjliga åtgärder: aktuell TLS-version, certifikatvalidering, VPN vid distansarbete.</t>
  </si>
  <si>
    <t>En datormask sprids i molnleverantörens miljö, och leverantören stänger tillfälligt ned tjänster för att begränsa spridningen.</t>
  </si>
  <si>
    <t>Molntjänsten blir otillgänglig under en okänd tidsperiod. Ordrar, kundregister och fakturering kan inte användas, vilket leder till uteblivna intäkter och risk för avtalsbrott gentemot kunder.</t>
  </si>
  <si>
    <t>En angripare använder social engineering och utger sig för att vara en känd leverantör. På så sätt får angriparen fysisk åtkomst till klienten och installerar en keylogger.</t>
  </si>
  <si>
    <t>Lösenord och andra känsliga uppgifter kan samlas in och användas för ytterligare obehörig åtkomst till andra system.</t>
  </si>
  <si>
    <t>Konsulten missbrukar sin behöriga åtkomst (insiderhot), till exempel av ekonomiska skäl eller på uppdrag av ett konkurrerande företag. Åtkomsten är dessutom bredare än nödvändigt, och kontrollen av hur konsulten använder den är begränsad.</t>
  </si>
  <si>
    <t>Kunduppgifter exponeras för obehöriga och kan missbrukas eller spridas vidare. Det kan ge affärsskada, förlorat kundförtroende och en personuppgiftsincident enligt GDPR.</t>
  </si>
  <si>
    <t>Möjliga åtgärder: minsta möjliga behörighet, sekretessavtal, loggning av åtkomst.</t>
  </si>
  <si>
    <t xml:space="preserve"> Möjliga åtgärder: parametriserade frågor, kryptering av känsliga fält, loggning och övervakning av databasfrågor.</t>
  </si>
  <si>
    <t>Möjliga åtgärder: MFA, loggning och granskning av administratörsåtgärder, utbildning mot phishing.</t>
  </si>
  <si>
    <t>Möjliga åtgärder: begränsa agentens dataåtkomst, filtrera in- och utdata, grundlig testning innan produktionssättning.</t>
  </si>
  <si>
    <t>Möjliga åtgärder: parametriserade frågor, indatavalidering, minsta möjliga databasrättigheter.</t>
  </si>
  <si>
    <t>Möjliga åtgärder: offline- eller oföränderliga säkerhetskopior, nätverkssegmentering, minskade administratörsrättigheter, utbildning.</t>
  </si>
  <si>
    <t>Möjliga åtgärder: manuell reservrutin för fakturering, snabb patchprocess, nätverksövervakning.</t>
  </si>
  <si>
    <t>Risken ligger delvis hos leverantören. Möjliga åtgärder: tydliga SLA-krav, lokala säkerhetskopior, kontinuitetsplan.</t>
  </si>
  <si>
    <t>Möjliga åtgärder: rutiner för besökare, verifiering av externa personer, låsta arbetsstationer, skydd mot skadlig kod.</t>
  </si>
  <si>
    <t>Över 500 000 kr</t>
  </si>
  <si>
    <t>Flera viktiga kunder förloras eller negativ publicitet i media</t>
  </si>
  <si>
    <t>Kritisk funktion ur drift mer än 3 dygn</t>
  </si>
  <si>
    <t>Allvarlig GDPR-incident med anmälan till IMY och risk för sanktionsavgift, eller väsentligt avtalsbrott</t>
  </si>
  <si>
    <t>100 000–500 000 kr</t>
  </si>
  <si>
    <t>Flera kunder tappar förtroendet och klagar, enstaka kunder lämnar</t>
  </si>
  <si>
    <t>Kritisk funktion ur drift 1–3 dygn</t>
  </si>
  <si>
    <t>Anmälningspliktig personuppgiftsincident eller avtalsbrott mot kunder</t>
  </si>
  <si>
    <t>20 000–100 000 kr</t>
  </si>
  <si>
    <t>Enstaka kunder klagar, ingen kund lämnar</t>
  </si>
  <si>
    <t>Funktion ur drift några timmar upp till 1 dygn</t>
  </si>
  <si>
    <t>Under 20 000 kr</t>
  </si>
  <si>
    <t>Avbrott under 1 timme eller reservrutin används</t>
  </si>
  <si>
    <t>Ingen avvikelse från krav eller avtal</t>
  </si>
  <si>
    <t>Förväntas inträffa oftare än en gång per år</t>
  </si>
  <si>
    <t>Förväntas inträffa ungefär vart 1–3 år</t>
  </si>
  <si>
    <t>Förväntas inträffa ungefär vart 3–10 år</t>
  </si>
  <si>
    <t>Förväntas inträffa mer sällan än vart 10:e år</t>
  </si>
  <si>
    <t>Knappt märkbart för kunder</t>
  </si>
  <si>
    <t>Mindre avvikelse som kan åtgärdas internt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</si>
</sst>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2"/>
      <color theme="1"/>
      <name val="Calibri"/>
      <family val="2"/>
      <scheme val="minor"/>
    </font>
    <font>
      <sz val="14"/>
      <color theme="1"/>
      <name val="Calibri"/>
      <family val="2"/>
      <scheme val="minor"/>
    </font>
    <font>
      <b/>
      <sz val="14"/>
      <color theme="1"/>
      <name val="Calibri"/>
      <family val="2"/>
      <scheme val="minor"/>
    </font>
    <font>
      <u/>
      <sz val="12"/>
      <color theme="10"/>
      <name val="Calibri"/>
      <family val="2"/>
      <scheme val="minor"/>
    </font>
    <font>
      <u/>
      <sz val="12"/>
      <color theme="11"/>
      <name val="Calibri"/>
      <family val="2"/>
      <scheme val="minor"/>
    </font>
    <font>
      <sz val="16"/>
      <color theme="1"/>
      <name val="Calibri"/>
      <family val="2"/>
      <scheme val="minor"/>
    </font>
    <font>
      <sz val="12"/>
      <color theme="0"/>
      <name val="Calibri"/>
      <family val="2"/>
      <scheme val="minor"/>
    </font>
    <font>
      <sz val="26"/>
      <color theme="1"/>
      <name val="Calibri"/>
      <family val="2"/>
      <scheme val="minor"/>
    </font>
    <font>
      <sz val="14"/>
      <color theme="1"/>
      <name val="Calibri"/>
      <family val="2"/>
    </font>
    <font>
      <sz val="12"/>
      <color theme="1"/>
      <name val="Calibri"/>
      <family val="2"/>
      <scheme val="minor"/>
    </font>
    <font>
      <b/>
      <sz val="12"/>
      <color theme="1"/>
      <name val="Calibri"/>
      <family val="2"/>
      <scheme val="minor"/>
    </font>
    <font>
      <b/>
      <sz val="26"/>
      <color theme="1"/>
      <name val="Calibri"/>
      <family val="2"/>
      <scheme val="minor"/>
    </font>
  </fonts>
  <fills count="13">
    <fill>
      <patternFill patternType="none"/>
    </fill>
    <fill>
      <patternFill patternType="gray125"/>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bgColor indexed="64"/>
      </patternFill>
    </fill>
    <fill>
      <patternFill patternType="solid">
        <fgColor rgb="FFFFC000"/>
        <bgColor indexed="64"/>
      </patternFill>
    </fill>
    <fill>
      <patternFill patternType="solid">
        <fgColor rgb="FFFF0000"/>
        <bgColor indexed="64"/>
      </patternFill>
    </fill>
    <fill>
      <patternFill patternType="solid">
        <fgColor theme="7"/>
        <bgColor indexed="64"/>
      </patternFill>
    </fill>
    <fill>
      <patternFill patternType="solid">
        <fgColor rgb="FFC00000"/>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79998168889431442"/>
        <bgColor indexed="65"/>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theme="0"/>
      </left>
      <right/>
      <top/>
      <bottom style="medium">
        <color theme="0"/>
      </bottom>
      <diagonal/>
    </border>
    <border>
      <left/>
      <right style="medium">
        <color theme="0"/>
      </right>
      <top/>
      <bottom style="medium">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9" fillId="12" borderId="0" applyNumberFormat="0" applyBorder="0" applyAlignment="0" applyProtection="0"/>
  </cellStyleXfs>
  <cellXfs count="46">
    <xf numFmtId="0" fontId="0" fillId="0" borderId="0" xfId="0"/>
    <xf numFmtId="0" fontId="1" fillId="0" borderId="0" xfId="0" applyFont="1"/>
    <xf numFmtId="0" fontId="2" fillId="0" borderId="0" xfId="0" applyFont="1"/>
    <xf numFmtId="14" fontId="1" fillId="0" borderId="0" xfId="0" applyNumberFormat="1" applyFont="1"/>
    <xf numFmtId="49" fontId="1" fillId="0" borderId="0" xfId="0" applyNumberFormat="1" applyFont="1" applyAlignment="1">
      <alignment horizontal="left" vertical="top" wrapText="1"/>
    </xf>
    <xf numFmtId="0" fontId="1" fillId="0" borderId="0" xfId="0" applyFont="1" applyAlignment="1">
      <alignment horizontal="left" vertical="top"/>
    </xf>
    <xf numFmtId="49" fontId="5" fillId="0" borderId="0" xfId="0" applyNumberFormat="1" applyFont="1" applyAlignment="1">
      <alignment horizontal="left" vertical="top" wrapText="1"/>
    </xf>
    <xf numFmtId="1" fontId="1" fillId="0" borderId="0" xfId="0" applyNumberFormat="1" applyFont="1" applyAlignment="1">
      <alignment horizontal="left" vertical="top"/>
    </xf>
    <xf numFmtId="49" fontId="7" fillId="0" borderId="0" xfId="0" applyNumberFormat="1" applyFont="1" applyAlignment="1">
      <alignment horizontal="left" vertical="top"/>
    </xf>
    <xf numFmtId="0" fontId="0" fillId="3" borderId="1" xfId="0" applyFill="1" applyBorder="1"/>
    <xf numFmtId="0" fontId="0" fillId="2" borderId="1" xfId="0" applyFill="1" applyBorder="1"/>
    <xf numFmtId="0" fontId="0" fillId="4" borderId="1" xfId="0" applyFill="1" applyBorder="1"/>
    <xf numFmtId="0" fontId="0" fillId="6" borderId="1" xfId="0" applyFill="1" applyBorder="1"/>
    <xf numFmtId="0" fontId="6" fillId="9" borderId="1" xfId="0" applyFont="1" applyFill="1" applyBorder="1"/>
    <xf numFmtId="0" fontId="6" fillId="7" borderId="1" xfId="0" applyFont="1" applyFill="1" applyBorder="1"/>
    <xf numFmtId="0" fontId="6" fillId="5" borderId="1" xfId="0" applyFont="1" applyFill="1" applyBorder="1"/>
    <xf numFmtId="0" fontId="6" fillId="9" borderId="0" xfId="0" applyFont="1" applyFill="1" applyAlignment="1">
      <alignment horizontal="center"/>
    </xf>
    <xf numFmtId="0" fontId="6" fillId="7" borderId="0" xfId="0" applyFont="1" applyFill="1" applyAlignment="1">
      <alignment horizontal="center"/>
    </xf>
    <xf numFmtId="0" fontId="6" fillId="5" borderId="0" xfId="0" applyFont="1" applyFill="1" applyAlignment="1">
      <alignment horizontal="center"/>
    </xf>
    <xf numFmtId="0" fontId="0" fillId="8" borderId="0" xfId="0" applyFill="1" applyAlignment="1">
      <alignment horizontal="center"/>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49" fontId="1" fillId="10" borderId="0" xfId="0" applyNumberFormat="1" applyFont="1" applyFill="1" applyAlignment="1">
      <alignment horizontal="left" vertical="top" wrapText="1"/>
    </xf>
    <xf numFmtId="49" fontId="1" fillId="10" borderId="0" xfId="0" applyNumberFormat="1" applyFont="1" applyFill="1" applyAlignment="1">
      <alignment horizontal="left" vertical="top"/>
    </xf>
    <xf numFmtId="0" fontId="6" fillId="0" borderId="0" xfId="0" applyFont="1" applyAlignment="1">
      <alignment horizontal="center"/>
    </xf>
    <xf numFmtId="0" fontId="0" fillId="8" borderId="0" xfId="0" applyFill="1"/>
    <xf numFmtId="0" fontId="0" fillId="2" borderId="0" xfId="0" applyFill="1"/>
    <xf numFmtId="0" fontId="0" fillId="3" borderId="0" xfId="0" applyFill="1"/>
    <xf numFmtId="0" fontId="0" fillId="4" borderId="0" xfId="0" applyFill="1"/>
    <xf numFmtId="0" fontId="8" fillId="0" borderId="0" xfId="0" applyFont="1"/>
    <xf numFmtId="49" fontId="1" fillId="10" borderId="2" xfId="0" applyNumberFormat="1" applyFont="1" applyFill="1" applyBorder="1" applyAlignment="1">
      <alignment horizontal="left" vertical="top" wrapText="1"/>
    </xf>
    <xf numFmtId="49" fontId="1" fillId="10" borderId="3" xfId="0" applyNumberFormat="1" applyFont="1" applyFill="1" applyBorder="1" applyAlignment="1">
      <alignment horizontal="left" vertical="top" wrapText="1"/>
    </xf>
    <xf numFmtId="1" fontId="2" fillId="11" borderId="0" xfId="0" applyNumberFormat="1" applyFont="1" applyFill="1" applyAlignment="1">
      <alignment horizontal="center" vertical="top"/>
    </xf>
    <xf numFmtId="0" fontId="10" fillId="0" borderId="0" xfId="0" applyFont="1"/>
    <xf numFmtId="49" fontId="1" fillId="11" borderId="0" xfId="0" applyNumberFormat="1" applyFont="1" applyFill="1" applyAlignment="1">
      <alignment horizontal="left" vertical="top"/>
    </xf>
    <xf numFmtId="1" fontId="9" fillId="12" borderId="0" xfId="3" applyNumberFormat="1" applyAlignment="1">
      <alignment horizontal="center" vertical="top"/>
    </xf>
    <xf numFmtId="0" fontId="9" fillId="12" borderId="0" xfId="3" applyNumberFormat="1" applyAlignment="1" applyProtection="1">
      <alignment horizontal="left" vertical="top"/>
    </xf>
    <xf numFmtId="0" fontId="1" fillId="11" borderId="0" xfId="0" applyFont="1" applyFill="1" applyAlignment="1">
      <alignment horizontal="left" vertical="top"/>
    </xf>
    <xf numFmtId="1" fontId="1" fillId="11" borderId="0" xfId="0" applyNumberFormat="1" applyFont="1" applyFill="1" applyAlignment="1">
      <alignment horizontal="center" vertical="top"/>
    </xf>
    <xf numFmtId="0" fontId="1" fillId="11" borderId="0" xfId="0" applyFont="1" applyFill="1" applyAlignment="1" applyProtection="1">
      <alignment horizontal="left" vertical="top"/>
      <protection locked="0"/>
    </xf>
    <xf numFmtId="49" fontId="1" fillId="0" borderId="0" xfId="0" applyNumberFormat="1" applyFont="1" applyAlignment="1">
      <alignment horizontal="left" vertical="top"/>
    </xf>
    <xf numFmtId="0" fontId="11" fillId="0" borderId="0" xfId="0" applyFont="1"/>
    <xf numFmtId="49" fontId="11" fillId="0" borderId="0" xfId="0" applyNumberFormat="1" applyFont="1" applyAlignment="1">
      <alignment horizontal="left" vertical="top"/>
    </xf>
    <xf numFmtId="49" fontId="2" fillId="0" borderId="4" xfId="0" applyNumberFormat="1" applyFont="1" applyBorder="1" applyAlignment="1">
      <alignment horizontal="center" vertical="top" wrapText="1"/>
    </xf>
    <xf numFmtId="49" fontId="2" fillId="0" borderId="5" xfId="0" applyNumberFormat="1" applyFont="1" applyBorder="1" applyAlignment="1">
      <alignment horizontal="center" vertical="top" wrapText="1"/>
    </xf>
  </cellXfs>
  <cellStyles count="4">
    <cellStyle name="20 % - Dekorfärg1" xfId="3" builtinId="30"/>
    <cellStyle name="Följd hyperlänk" xfId="2" builtinId="9" hidden="1"/>
    <cellStyle name="Hyperlänk" xfId="1" builtinId="8" hidden="1"/>
    <cellStyle name="Normal" xfId="0" builtinId="0"/>
  </cellStyles>
  <dxfs count="56">
    <dxf>
      <font>
        <b val="0"/>
        <i val="0"/>
      </font>
      <fill>
        <patternFill>
          <bgColor theme="9" tint="0.59996337778862885"/>
        </patternFill>
      </fill>
    </dxf>
    <dxf>
      <font>
        <b val="0"/>
        <i val="0"/>
      </font>
      <fill>
        <patternFill>
          <bgColor theme="9" tint="0.59996337778862885"/>
        </patternFill>
      </fill>
    </dxf>
    <dxf>
      <font>
        <b val="0"/>
        <i val="0"/>
      </font>
      <fill>
        <patternFill>
          <bgColor theme="9" tint="0.59996337778862885"/>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rgb="FFFFC000"/>
        </patternFill>
      </fill>
    </dxf>
    <dxf>
      <font>
        <color theme="0"/>
      </font>
      <fill>
        <patternFill>
          <fgColor theme="0"/>
          <bgColor theme="5"/>
        </patternFill>
      </fill>
    </dxf>
    <dxf>
      <font>
        <color theme="0"/>
      </font>
      <fill>
        <patternFill>
          <bgColor rgb="FFFF0000"/>
        </patternFill>
      </fill>
    </dxf>
    <dxf>
      <font>
        <color theme="0"/>
      </font>
      <fill>
        <patternFill>
          <bgColor rgb="FFC00000"/>
        </patternFill>
      </fill>
    </dxf>
    <dxf>
      <fill>
        <patternFill>
          <bgColor theme="7"/>
        </patternFill>
      </fill>
    </dxf>
    <dxf>
      <font>
        <b val="0"/>
        <i val="0"/>
      </font>
      <fill>
        <patternFill>
          <bgColor theme="7" tint="0.39994506668294322"/>
        </patternFill>
      </fill>
    </dxf>
    <dxf>
      <fill>
        <patternFill>
          <bgColor theme="7" tint="0.79998168889431442"/>
        </patternFill>
      </fill>
    </dxf>
    <dxf>
      <font>
        <b val="0"/>
        <i val="0"/>
      </font>
      <fill>
        <patternFill>
          <bgColor theme="7" tint="0.59996337778862885"/>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theme="7"/>
        </patternFill>
      </fill>
    </dxf>
    <dxf>
      <font>
        <b val="0"/>
        <i val="0"/>
      </font>
      <fill>
        <patternFill>
          <bgColor theme="7" tint="0.39994506668294322"/>
        </patternFill>
      </fill>
    </dxf>
    <dxf>
      <fill>
        <patternFill>
          <bgColor theme="7" tint="0.79998168889431442"/>
        </patternFill>
      </fill>
    </dxf>
    <dxf>
      <font>
        <b val="0"/>
        <i val="0"/>
      </font>
      <fill>
        <patternFill>
          <bgColor theme="7" tint="0.59996337778862885"/>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theme="7"/>
        </patternFill>
      </fill>
    </dxf>
    <dxf>
      <font>
        <b val="0"/>
        <i val="0"/>
      </font>
      <fill>
        <patternFill>
          <bgColor theme="7" tint="0.39994506668294322"/>
        </patternFill>
      </fill>
    </dxf>
    <dxf>
      <fill>
        <patternFill>
          <bgColor theme="7" tint="0.79998168889431442"/>
        </patternFill>
      </fill>
    </dxf>
    <dxf>
      <font>
        <b val="0"/>
        <i val="0"/>
      </font>
      <fill>
        <patternFill>
          <bgColor theme="7" tint="0.59996337778862885"/>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theme="7"/>
        </patternFill>
      </fill>
    </dxf>
    <dxf>
      <fill>
        <patternFill>
          <bgColor theme="7" tint="0.39994506668294322"/>
        </patternFill>
      </fill>
    </dxf>
    <dxf>
      <fill>
        <patternFill>
          <bgColor theme="7" tint="0.59996337778862885"/>
        </patternFill>
      </fill>
    </dxf>
    <dxf>
      <fill>
        <patternFill>
          <bgColor theme="7" tint="0.79998168889431442"/>
        </patternFill>
      </fill>
    </dxf>
    <dxf>
      <fill>
        <patternFill>
          <bgColor theme="7"/>
        </patternFill>
      </fill>
    </dxf>
    <dxf>
      <fill>
        <patternFill>
          <bgColor theme="7"/>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theme="7"/>
        </patternFill>
      </fill>
    </dxf>
    <dxf>
      <font>
        <b/>
        <i val="0"/>
        <strike val="0"/>
        <condense val="0"/>
        <extend val="0"/>
        <outline val="0"/>
        <shadow val="0"/>
        <u val="none"/>
        <vertAlign val="baseline"/>
        <sz val="12"/>
        <color theme="1"/>
        <name val="Calibri"/>
        <family val="2"/>
        <scheme val="minor"/>
      </font>
    </dxf>
    <dxf>
      <font>
        <strike val="0"/>
        <outline val="0"/>
        <shadow val="0"/>
        <u val="none"/>
        <vertAlign val="baseline"/>
        <sz val="14"/>
        <color theme="1"/>
        <name val="Calibri"/>
        <scheme val="minor"/>
      </font>
      <numFmt numFmtId="30" formatCode="@"/>
      <fill>
        <patternFill patternType="solid">
          <fgColor indexed="64"/>
          <bgColor theme="4" tint="0.79998168889431442"/>
        </patternFill>
      </fill>
      <alignment horizontal="left" vertical="top" textRotation="0" wrapText="0" indent="0" justifyLastLine="0" shrinkToFit="0" readingOrder="0"/>
    </dxf>
    <dxf>
      <font>
        <strike val="0"/>
        <outline val="0"/>
        <shadow val="0"/>
        <u val="none"/>
        <vertAlign val="baseline"/>
        <sz val="14"/>
        <color theme="1"/>
        <name val="Calibri"/>
        <scheme val="minor"/>
      </font>
      <numFmt numFmtId="30" formatCode="@"/>
      <alignment horizontal="left" vertical="top" textRotation="0" wrapText="0" indent="0" justifyLastLine="0" shrinkToFit="0" readingOrder="0"/>
    </dxf>
    <dxf>
      <font>
        <b val="0"/>
        <i val="0"/>
        <strike val="0"/>
        <condense val="0"/>
        <extend val="0"/>
        <outline val="0"/>
        <shadow val="0"/>
        <u val="none"/>
        <vertAlign val="baseline"/>
        <sz val="14"/>
        <color theme="1"/>
        <name val="Calibri"/>
        <scheme val="minor"/>
      </font>
      <fill>
        <patternFill patternType="solid">
          <fgColor indexed="64"/>
          <bgColor theme="5" tint="0.59999389629810485"/>
        </patternFill>
      </fill>
      <alignment horizontal="left" vertical="top" textRotation="0" wrapText="0" indent="0" justifyLastLine="0" shrinkToFit="0" readingOrder="0"/>
    </dxf>
    <dxf>
      <font>
        <b val="0"/>
        <i val="0"/>
        <strike val="0"/>
        <condense val="0"/>
        <extend val="0"/>
        <outline val="0"/>
        <shadow val="0"/>
        <u val="none"/>
        <vertAlign val="baseline"/>
        <sz val="14"/>
        <color theme="1"/>
        <name val="Calibri"/>
        <scheme val="minor"/>
      </font>
      <numFmt numFmtId="1" formatCode="0"/>
      <fill>
        <patternFill patternType="solid">
          <fgColor indexed="64"/>
          <bgColor theme="4" tint="0.79998168889431442"/>
        </patternFill>
      </fill>
      <alignment horizontal="center" vertical="top" textRotation="0" wrapText="0" indent="0" justifyLastLine="0" shrinkToFit="0" readingOrder="0"/>
    </dxf>
    <dxf>
      <font>
        <b val="0"/>
        <i val="0"/>
        <strike val="0"/>
        <condense val="0"/>
        <extend val="0"/>
        <outline val="0"/>
        <shadow val="0"/>
        <u val="none"/>
        <vertAlign val="baseline"/>
        <sz val="14"/>
        <color theme="1"/>
        <name val="Calibri"/>
        <scheme val="minor"/>
      </font>
      <fill>
        <patternFill patternType="solid">
          <fgColor indexed="64"/>
          <bgColor theme="5" tint="0.59999389629810485"/>
        </patternFill>
      </fill>
      <alignment horizontal="left" vertical="top" textRotation="0" wrapText="0" indent="0" justifyLastLine="0" shrinkToFit="0" readingOrder="0"/>
    </dxf>
    <dxf>
      <font>
        <b val="0"/>
        <i val="0"/>
        <strike val="0"/>
        <condense val="0"/>
        <extend val="0"/>
        <outline val="0"/>
        <shadow val="0"/>
        <u val="none"/>
        <vertAlign val="baseline"/>
        <sz val="14"/>
        <color theme="1"/>
        <name val="Calibri"/>
        <scheme val="minor"/>
      </font>
      <numFmt numFmtId="1" formatCode="0"/>
      <fill>
        <patternFill patternType="solid">
          <fgColor indexed="64"/>
          <bgColor theme="4" tint="0.79998168889431442"/>
        </patternFill>
      </fill>
      <alignment horizontal="center" vertical="top" textRotation="0" wrapText="0" indent="0" justifyLastLine="0" shrinkToFit="0" readingOrder="0"/>
    </dxf>
    <dxf>
      <font>
        <strike val="0"/>
        <outline val="0"/>
        <shadow val="0"/>
        <u val="none"/>
        <vertAlign val="baseline"/>
        <sz val="14"/>
        <color theme="1"/>
        <name val="Calibri"/>
        <scheme val="minor"/>
      </font>
      <numFmt numFmtId="30" formatCode="@"/>
      <alignment horizontal="left" vertical="top" textRotation="0" wrapText="0" indent="0" justifyLastLine="0" shrinkToFit="0" readingOrder="0"/>
    </dxf>
    <dxf>
      <font>
        <b val="0"/>
        <i val="0"/>
        <strike val="0"/>
        <condense val="0"/>
        <extend val="0"/>
        <outline val="0"/>
        <shadow val="0"/>
        <u val="none"/>
        <vertAlign val="baseline"/>
        <sz val="14"/>
        <color theme="1"/>
        <name val="Calibri"/>
        <scheme val="minor"/>
      </font>
      <numFmt numFmtId="30" formatCode="@"/>
      <fill>
        <patternFill patternType="solid">
          <fgColor indexed="64"/>
          <bgColor theme="5" tint="0.79998168889431442"/>
        </patternFill>
      </fill>
      <alignment horizontal="left" vertical="top" textRotation="0" wrapText="0" indent="0" justifyLastLine="0" shrinkToFit="0" readingOrder="0"/>
    </dxf>
    <dxf>
      <font>
        <b val="0"/>
        <i val="0"/>
        <strike val="0"/>
        <condense val="0"/>
        <extend val="0"/>
        <outline val="0"/>
        <shadow val="0"/>
        <u val="none"/>
        <vertAlign val="baseline"/>
        <sz val="14"/>
        <color theme="1"/>
        <name val="Calibri"/>
        <scheme val="minor"/>
      </font>
      <numFmt numFmtId="30" formatCode="@"/>
      <fill>
        <patternFill patternType="solid">
          <fgColor indexed="64"/>
          <bgColor theme="5" tint="0.79998168889431442"/>
        </patternFill>
      </fill>
      <alignment horizontal="left" vertical="top"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30" formatCode="@"/>
      <fill>
        <patternFill patternType="solid">
          <fgColor indexed="64"/>
          <bgColor theme="4" tint="0.79998168889431442"/>
        </patternFill>
      </fill>
      <alignment horizontal="left" vertical="top"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30" formatCode="@"/>
      <fill>
        <patternFill patternType="solid">
          <fgColor indexed="64"/>
          <bgColor theme="4" tint="0.79998168889431442"/>
        </patternFill>
      </fill>
      <alignment horizontal="left" vertical="top" textRotation="0" wrapText="0" indent="0" justifyLastLine="0" shrinkToFit="0" readingOrder="0"/>
    </dxf>
    <dxf>
      <font>
        <strike val="0"/>
        <outline val="0"/>
        <shadow val="0"/>
        <u val="none"/>
        <vertAlign val="baseline"/>
        <sz val="14"/>
        <color theme="1"/>
        <name val="Calibri"/>
        <scheme val="minor"/>
      </font>
      <numFmt numFmtId="30" formatCode="@"/>
      <alignment horizontal="left" vertical="top" textRotation="0" wrapText="0" indent="0" justifyLastLine="0" shrinkToFit="0" readingOrder="0"/>
    </dxf>
    <dxf>
      <font>
        <strike val="0"/>
        <outline val="0"/>
        <shadow val="0"/>
        <u val="none"/>
        <vertAlign val="baseline"/>
        <sz val="14"/>
        <color theme="1"/>
        <name val="Calibri"/>
        <scheme val="minor"/>
      </font>
      <numFmt numFmtId="30" formatCode="@"/>
      <alignment horizontal="left" vertical="top" textRotation="0" wrapText="0" indent="0" justifyLastLine="0" shrinkToFit="0" readingOrder="0"/>
    </dxf>
    <dxf>
      <font>
        <strike val="0"/>
        <outline val="0"/>
        <shadow val="0"/>
        <u val="none"/>
        <vertAlign val="baseline"/>
        <sz val="14"/>
        <color theme="1"/>
        <name val="Calibri"/>
        <scheme val="minor"/>
      </font>
      <numFmt numFmtId="30" formatCode="@"/>
      <fill>
        <patternFill patternType="solid">
          <fgColor indexed="64"/>
          <bgColor theme="4"/>
        </patternFill>
      </fill>
      <alignment horizontal="left" vertical="top" textRotation="0" wrapText="0" indent="0" justifyLastLine="0" shrinkToFit="0" readingOrder="0"/>
    </dxf>
  </dxfs>
  <tableStyles count="1" defaultTableStyle="Tabellformat 1" defaultPivotStyle="PivotStyleMedium7">
    <tableStyle name="Tabellformat 1" pivot="0" count="0" xr9:uid="{00000000-0011-0000-FFFF-FFFF00000000}"/>
  </tableStyles>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31750</xdr:colOff>
      <xdr:row>2</xdr:row>
      <xdr:rowOff>165099</xdr:rowOff>
    </xdr:from>
    <xdr:to>
      <xdr:col>14</xdr:col>
      <xdr:colOff>368300</xdr:colOff>
      <xdr:row>47</xdr:row>
      <xdr:rowOff>137583</xdr:rowOff>
    </xdr:to>
    <xdr:sp macro="" textlink="">
      <xdr:nvSpPr>
        <xdr:cNvPr id="2" name="textruta 1">
          <a:extLst>
            <a:ext uri="{FF2B5EF4-FFF2-40B4-BE49-F238E27FC236}">
              <a16:creationId xmlns:a16="http://schemas.microsoft.com/office/drawing/2014/main" id="{00000000-0008-0000-0000-000002000000}"/>
            </a:ext>
          </a:extLst>
        </xdr:cNvPr>
        <xdr:cNvSpPr txBox="1"/>
      </xdr:nvSpPr>
      <xdr:spPr>
        <a:xfrm>
          <a:off x="1386417" y="567266"/>
          <a:ext cx="8464550" cy="90212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800">
              <a:solidFill>
                <a:schemeClr val="dk1"/>
              </a:solidFill>
              <a:effectLst/>
              <a:latin typeface="+mn-lt"/>
              <a:ea typeface="+mn-ea"/>
              <a:cs typeface="+mn-cs"/>
            </a:rPr>
            <a:t>Manual Verktyget</a:t>
          </a:r>
          <a:r>
            <a:rPr lang="sv-SE" sz="1800" baseline="0">
              <a:solidFill>
                <a:schemeClr val="dk1"/>
              </a:solidFill>
              <a:effectLst/>
              <a:latin typeface="+mn-lt"/>
              <a:ea typeface="+mn-ea"/>
              <a:cs typeface="+mn-cs"/>
            </a:rPr>
            <a:t> Risk</a:t>
          </a:r>
          <a:endParaRPr lang="sv-SE" sz="1800">
            <a:solidFill>
              <a:schemeClr val="dk1"/>
            </a:solidFill>
            <a:effectLst/>
            <a:latin typeface="+mn-lt"/>
            <a:ea typeface="+mn-ea"/>
            <a:cs typeface="+mn-cs"/>
          </a:endParaRPr>
        </a:p>
        <a:p>
          <a:endParaRPr lang="sv-SE" sz="1400">
            <a:solidFill>
              <a:schemeClr val="dk1"/>
            </a:solidFill>
            <a:effectLst/>
            <a:latin typeface="+mn-lt"/>
            <a:ea typeface="+mn-ea"/>
            <a:cs typeface="+mn-cs"/>
          </a:endParaRPr>
        </a:p>
        <a:p>
          <a:r>
            <a:rPr lang="sv-SE" sz="1200">
              <a:solidFill>
                <a:schemeClr val="dk1"/>
              </a:solidFill>
              <a:effectLst/>
              <a:latin typeface="+mn-lt"/>
              <a:ea typeface="+mn-ea"/>
              <a:cs typeface="+mn-cs"/>
            </a:rPr>
            <a:t>Detta verktyg är</a:t>
          </a:r>
          <a:r>
            <a:rPr lang="sv-SE" sz="1200" baseline="0">
              <a:solidFill>
                <a:schemeClr val="dk1"/>
              </a:solidFill>
              <a:effectLst/>
              <a:latin typeface="+mn-lt"/>
              <a:ea typeface="+mn-ea"/>
              <a:cs typeface="+mn-cs"/>
            </a:rPr>
            <a:t> en anpassning av det riskhanteringsverktyg som tillhandahålls av sajten informationssakerhet.se. Filen används i kursen ETE352 Cybersäkerhet - grunder och medvetenhet som ges vid Linköpings universitet. Anpassningarna har gjorts för att passa kursen och att tydliggöra kopplingen till tillgångar och hotmodelleringen. Den är också något förenklad genom att kategorin riskägare är borttagen eftersom detta är organisationsspecifikt. Om en verklig riskanalys ska göras så bör det ursprungliga verktyget användas anpassas, denna fil är primärt avsedd för undervisning.</a:t>
          </a:r>
        </a:p>
        <a:p>
          <a:endParaRPr lang="sv-SE"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1">
              <a:solidFill>
                <a:schemeClr val="dk1"/>
              </a:solidFill>
              <a:effectLst/>
              <a:latin typeface="+mn-lt"/>
              <a:ea typeface="+mn-ea"/>
              <a:cs typeface="+mn-cs"/>
            </a:rPr>
            <a:t>1. Fyll i studentdata</a:t>
          </a:r>
          <a:endParaRPr lang="sv-SE" sz="1200" baseline="0">
            <a:solidFill>
              <a:schemeClr val="dk1"/>
            </a:solidFill>
            <a:effectLst/>
            <a:latin typeface="+mn-lt"/>
            <a:ea typeface="+mn-ea"/>
            <a:cs typeface="+mn-cs"/>
          </a:endParaRPr>
        </a:p>
        <a:p>
          <a:r>
            <a:rPr lang="sv-SE" sz="1200">
              <a:solidFill>
                <a:schemeClr val="dk1"/>
              </a:solidFill>
              <a:effectLst/>
              <a:latin typeface="+mn-lt"/>
              <a:ea typeface="+mn-ea"/>
              <a:cs typeface="+mn-cs"/>
            </a:rPr>
            <a:t>Skriv</a:t>
          </a:r>
          <a:r>
            <a:rPr lang="sv-SE" sz="1200" baseline="0">
              <a:solidFill>
                <a:schemeClr val="dk1"/>
              </a:solidFill>
              <a:effectLst/>
              <a:latin typeface="+mn-lt"/>
              <a:ea typeface="+mn-ea"/>
              <a:cs typeface="+mn-cs"/>
            </a:rPr>
            <a:t> ditt namn och LiU-ID i fliken "Studentdata" i respektive kolumn.</a:t>
          </a:r>
          <a:endParaRPr lang="sv-SE" sz="1200">
            <a:solidFill>
              <a:schemeClr val="dk1"/>
            </a:solidFill>
            <a:effectLst/>
            <a:latin typeface="+mn-lt"/>
            <a:ea typeface="+mn-ea"/>
            <a:cs typeface="+mn-cs"/>
          </a:endParaRPr>
        </a:p>
        <a:p>
          <a:endParaRPr lang="sv-SE" sz="1200">
            <a:solidFill>
              <a:schemeClr val="dk1"/>
            </a:solidFill>
            <a:effectLst/>
            <a:latin typeface="+mn-lt"/>
            <a:ea typeface="+mn-ea"/>
            <a:cs typeface="+mn-cs"/>
          </a:endParaRPr>
        </a:p>
        <a:p>
          <a:r>
            <a:rPr lang="sv-SE" sz="1200" b="1">
              <a:solidFill>
                <a:schemeClr val="dk1"/>
              </a:solidFill>
              <a:effectLst/>
              <a:latin typeface="+mn-lt"/>
              <a:ea typeface="+mn-ea"/>
              <a:cs typeface="+mn-cs"/>
            </a:rPr>
            <a:t>2.</a:t>
          </a:r>
          <a:r>
            <a:rPr lang="sv-SE" sz="1200" b="1" baseline="0">
              <a:solidFill>
                <a:schemeClr val="dk1"/>
              </a:solidFill>
              <a:effectLst/>
              <a:latin typeface="+mn-lt"/>
              <a:ea typeface="+mn-ea"/>
              <a:cs typeface="+mn-cs"/>
            </a:rPr>
            <a:t> Definiera risknivåer </a:t>
          </a:r>
        </a:p>
        <a:p>
          <a:pPr marL="0" marR="0" lvl="0" indent="0" defTabSz="914400" eaLnBrk="1" fontAlgn="auto" latinLnBrk="0" hangingPunct="1">
            <a:lnSpc>
              <a:spcPct val="100000"/>
            </a:lnSpc>
            <a:spcBef>
              <a:spcPts val="0"/>
            </a:spcBef>
            <a:spcAft>
              <a:spcPts val="0"/>
            </a:spcAft>
            <a:buClrTx/>
            <a:buSzTx/>
            <a:buFontTx/>
            <a:buNone/>
            <a:tabLst/>
            <a:defRPr/>
          </a:pPr>
          <a:r>
            <a:rPr lang="sv-SE" sz="1200">
              <a:solidFill>
                <a:schemeClr val="dk1"/>
              </a:solidFill>
              <a:effectLst/>
              <a:latin typeface="+mn-lt"/>
              <a:ea typeface="+mn-ea"/>
              <a:cs typeface="+mn-cs"/>
            </a:rPr>
            <a:t>Under fliken </a:t>
          </a:r>
          <a:r>
            <a:rPr lang="sv-SE" sz="1200" i="1">
              <a:solidFill>
                <a:schemeClr val="dk1"/>
              </a:solidFill>
              <a:effectLst/>
              <a:latin typeface="+mn-lt"/>
              <a:ea typeface="+mn-ea"/>
              <a:cs typeface="+mn-cs"/>
            </a:rPr>
            <a:t>Risknivåer</a:t>
          </a:r>
          <a:r>
            <a:rPr lang="sv-SE" sz="1200" baseline="0">
              <a:solidFill>
                <a:schemeClr val="dk1"/>
              </a:solidFill>
              <a:effectLst/>
              <a:latin typeface="+mn-lt"/>
              <a:ea typeface="+mn-ea"/>
              <a:cs typeface="+mn-cs"/>
            </a:rPr>
            <a:t> kan man fastställa vad de olika nivåerna av sannolikhet och konsekvens har för innebörd. För konsekvens finns kategorierna Ekonomisk förlust, Minskat förtroende, Avbrott i verksamheten, och Bristande regelefterlevnad.</a:t>
          </a:r>
        </a:p>
        <a:p>
          <a:pPr marL="0" marR="0" lvl="0" indent="0" defTabSz="914400" eaLnBrk="1" fontAlgn="auto" latinLnBrk="0" hangingPunct="1">
            <a:lnSpc>
              <a:spcPct val="100000"/>
            </a:lnSpc>
            <a:spcBef>
              <a:spcPts val="0"/>
            </a:spcBef>
            <a:spcAft>
              <a:spcPts val="0"/>
            </a:spcAft>
            <a:buClrTx/>
            <a:buSzTx/>
            <a:buFontTx/>
            <a:buNone/>
            <a:tabLst/>
            <a:defRPr/>
          </a:pPr>
          <a:endParaRPr lang="sv-SE"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aseline="0">
              <a:solidFill>
                <a:schemeClr val="dk1"/>
              </a:solidFill>
              <a:effectLst/>
              <a:latin typeface="+mn-lt"/>
              <a:ea typeface="+mn-ea"/>
              <a:cs typeface="+mn-cs"/>
            </a:rPr>
            <a:t>För sannolikhetsnivåerna bör man ange intervall för de fyra nivåerna. Exempelvis kan man med "Låg sannolikhet" ange färre än en incident på tio år.</a:t>
          </a:r>
        </a:p>
        <a:p>
          <a:pPr marL="0" marR="0" lvl="0" indent="0" defTabSz="914400" eaLnBrk="1" fontAlgn="auto" latinLnBrk="0" hangingPunct="1">
            <a:lnSpc>
              <a:spcPct val="100000"/>
            </a:lnSpc>
            <a:spcBef>
              <a:spcPts val="0"/>
            </a:spcBef>
            <a:spcAft>
              <a:spcPts val="0"/>
            </a:spcAft>
            <a:buClrTx/>
            <a:buSzTx/>
            <a:buFontTx/>
            <a:buNone/>
            <a:tabLst/>
            <a:defRPr/>
          </a:pPr>
          <a:endParaRPr lang="sv-SE"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aseline="0">
              <a:solidFill>
                <a:schemeClr val="dk1"/>
              </a:solidFill>
              <a:effectLst/>
              <a:latin typeface="+mn-lt"/>
              <a:ea typeface="+mn-ea"/>
              <a:cs typeface="+mn-cs"/>
            </a:rPr>
            <a:t>Risknivåerna bör definieras initialt, innan riskanalyser genomförs, eftersom d</a:t>
          </a:r>
          <a:r>
            <a:rPr lang="sv-SE" sz="1200">
              <a:solidFill>
                <a:schemeClr val="dk1"/>
              </a:solidFill>
              <a:effectLst/>
              <a:latin typeface="+mn-lt"/>
              <a:ea typeface="+mn-ea"/>
              <a:cs typeface="+mn-cs"/>
            </a:rPr>
            <a:t>et är viktigt</a:t>
          </a:r>
          <a:r>
            <a:rPr lang="sv-SE" sz="1200" baseline="0">
              <a:solidFill>
                <a:schemeClr val="dk1"/>
              </a:solidFill>
              <a:effectLst/>
              <a:latin typeface="+mn-lt"/>
              <a:ea typeface="+mn-ea"/>
              <a:cs typeface="+mn-cs"/>
            </a:rPr>
            <a:t> att organisationen har en gemensam uppfattning om vad som avses med exempelvis "Hög sannolikhet". </a:t>
          </a:r>
          <a:endParaRPr lang="sv-SE" sz="12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sv-SE" sz="12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1">
              <a:solidFill>
                <a:schemeClr val="dk1"/>
              </a:solidFill>
              <a:effectLst/>
              <a:latin typeface="+mn-lt"/>
              <a:ea typeface="+mn-ea"/>
              <a:cs typeface="+mn-cs"/>
            </a:rPr>
            <a:t>3. Beskriv</a:t>
          </a:r>
          <a:r>
            <a:rPr lang="sv-SE" sz="1200" b="1" baseline="0">
              <a:solidFill>
                <a:schemeClr val="dk1"/>
              </a:solidFill>
              <a:effectLst/>
              <a:latin typeface="+mn-lt"/>
              <a:ea typeface="+mn-ea"/>
              <a:cs typeface="+mn-cs"/>
            </a:rPr>
            <a:t> risker i fliken "Riskregister"</a:t>
          </a:r>
          <a:endParaRPr lang="sv-SE" sz="1200" baseline="0">
            <a:solidFill>
              <a:schemeClr val="dk1"/>
            </a:solidFill>
            <a:effectLst/>
            <a:latin typeface="+mn-lt"/>
            <a:ea typeface="+mn-ea"/>
            <a:cs typeface="+mn-cs"/>
          </a:endParaRPr>
        </a:p>
        <a:p>
          <a:r>
            <a:rPr lang="sv-SE" sz="1200" baseline="0">
              <a:solidFill>
                <a:schemeClr val="dk1"/>
              </a:solidFill>
              <a:effectLst/>
              <a:latin typeface="+mn-lt"/>
              <a:ea typeface="+mn-ea"/>
              <a:cs typeface="+mn-cs"/>
            </a:rPr>
            <a:t>Kolumnerna Tillgång (B), Egenskap (C), Riskcenario (D), Orsaksbeskrivning (E), Konsekvensbeskrivning (F),  och Kommentar (L) fylls i med vanlig text.</a:t>
          </a:r>
        </a:p>
        <a:p>
          <a:endParaRPr lang="sv-SE" sz="1200" baseline="0">
            <a:solidFill>
              <a:schemeClr val="dk1"/>
            </a:solidFill>
            <a:effectLst/>
            <a:latin typeface="+mn-lt"/>
            <a:ea typeface="+mn-ea"/>
            <a:cs typeface="+mn-cs"/>
          </a:endParaRPr>
        </a:p>
        <a:p>
          <a:r>
            <a:rPr lang="sv-SE" sz="1200" baseline="0">
              <a:solidFill>
                <a:schemeClr val="dk1"/>
              </a:solidFill>
              <a:effectLst/>
              <a:latin typeface="+mn-lt"/>
              <a:ea typeface="+mn-ea"/>
              <a:cs typeface="+mn-cs"/>
            </a:rPr>
            <a:t>För att ange nivåer av sannolikhet och konsekvens, gör så här:</a:t>
          </a:r>
        </a:p>
        <a:p>
          <a:endParaRPr lang="sv-SE" sz="1200" baseline="0">
            <a:solidFill>
              <a:schemeClr val="dk1"/>
            </a:solidFill>
            <a:effectLst/>
            <a:latin typeface="+mn-lt"/>
            <a:ea typeface="+mn-ea"/>
            <a:cs typeface="+mn-cs"/>
          </a:endParaRPr>
        </a:p>
        <a:p>
          <a:r>
            <a:rPr lang="sv-SE" sz="1200" baseline="0">
              <a:solidFill>
                <a:schemeClr val="dk1"/>
              </a:solidFill>
              <a:effectLst/>
              <a:latin typeface="+mn-lt"/>
              <a:ea typeface="+mn-ea"/>
              <a:cs typeface="+mn-cs"/>
            </a:rPr>
            <a:t>Skriv manuellt in numeriska värden (1-4) i kolumnerna G och I. Då fylls de verbala beskrivningarna av sannolikhet (kolumn H) och konsekvens (kolumn J) samt risknivån (kolumn K) i automatiskt. Formateringarna (färgerna) ändras också automatiskt. </a:t>
          </a:r>
          <a:endParaRPr lang="sv-SE" sz="1200">
            <a:solidFill>
              <a:schemeClr val="dk1"/>
            </a:solidFill>
            <a:effectLst/>
            <a:latin typeface="+mn-lt"/>
            <a:ea typeface="+mn-ea"/>
            <a:cs typeface="+mn-cs"/>
          </a:endParaRPr>
        </a:p>
        <a:p>
          <a:endParaRPr lang="sv-SE" sz="1200">
            <a:solidFill>
              <a:schemeClr val="dk1"/>
            </a:solidFill>
            <a:effectLst/>
            <a:latin typeface="+mn-lt"/>
            <a:ea typeface="+mn-ea"/>
            <a:cs typeface="+mn-cs"/>
          </a:endParaRPr>
        </a:p>
        <a:p>
          <a:r>
            <a:rPr lang="sv-SE" sz="1200" b="1">
              <a:solidFill>
                <a:schemeClr val="dk1"/>
              </a:solidFill>
              <a:effectLst/>
              <a:latin typeface="+mn-lt"/>
              <a:ea typeface="+mn-ea"/>
              <a:cs typeface="+mn-cs"/>
            </a:rPr>
            <a:t>4.</a:t>
          </a:r>
          <a:r>
            <a:rPr lang="sv-SE" sz="1200" b="1" baseline="0">
              <a:solidFill>
                <a:schemeClr val="dk1"/>
              </a:solidFill>
              <a:effectLst/>
              <a:latin typeface="+mn-lt"/>
              <a:ea typeface="+mn-ea"/>
              <a:cs typeface="+mn-cs"/>
            </a:rPr>
            <a:t> M</a:t>
          </a:r>
          <a:r>
            <a:rPr lang="sv-SE" sz="1200" b="1">
              <a:solidFill>
                <a:schemeClr val="dk1"/>
              </a:solidFill>
              <a:effectLst/>
              <a:latin typeface="+mn-lt"/>
              <a:ea typeface="+mn-ea"/>
              <a:cs typeface="+mn-cs"/>
            </a:rPr>
            <a:t>odifiering av verktyget (behövs inte för kursen)</a:t>
          </a:r>
        </a:p>
        <a:p>
          <a:pPr marL="0" marR="0" lvl="0" indent="0" defTabSz="914400" eaLnBrk="1" fontAlgn="auto" latinLnBrk="0" hangingPunct="1">
            <a:lnSpc>
              <a:spcPct val="100000"/>
            </a:lnSpc>
            <a:spcBef>
              <a:spcPts val="0"/>
            </a:spcBef>
            <a:spcAft>
              <a:spcPts val="0"/>
            </a:spcAft>
            <a:buClrTx/>
            <a:buSzTx/>
            <a:buFontTx/>
            <a:buNone/>
            <a:tabLst/>
            <a:defRPr/>
          </a:pPr>
          <a:r>
            <a:rPr lang="sv-SE" sz="1200">
              <a:solidFill>
                <a:schemeClr val="dk1"/>
              </a:solidFill>
              <a:effectLst/>
              <a:latin typeface="+mn-lt"/>
              <a:ea typeface="+mn-ea"/>
              <a:cs typeface="+mn-cs"/>
            </a:rPr>
            <a:t>Visuellt</a:t>
          </a:r>
          <a:r>
            <a:rPr lang="sv-SE" sz="1200" baseline="0">
              <a:solidFill>
                <a:schemeClr val="dk1"/>
              </a:solidFill>
              <a:effectLst/>
              <a:latin typeface="+mn-lt"/>
              <a:ea typeface="+mn-ea"/>
              <a:cs typeface="+mn-cs"/>
            </a:rPr>
            <a:t> kan f</a:t>
          </a:r>
          <a:r>
            <a:rPr lang="sv-SE" sz="1200">
              <a:solidFill>
                <a:schemeClr val="dk1"/>
              </a:solidFill>
              <a:effectLst/>
              <a:latin typeface="+mn-lt"/>
              <a:ea typeface="+mn-ea"/>
              <a:cs typeface="+mn-cs"/>
            </a:rPr>
            <a:t>ärgskalorna i kolumnerna ändras för sannolikhet,</a:t>
          </a:r>
          <a:r>
            <a:rPr lang="sv-SE" sz="1200" baseline="0">
              <a:solidFill>
                <a:schemeClr val="dk1"/>
              </a:solidFill>
              <a:effectLst/>
              <a:latin typeface="+mn-lt"/>
              <a:ea typeface="+mn-ea"/>
              <a:cs typeface="+mn-cs"/>
            </a:rPr>
            <a:t> konsekvens och risknivå med "Villkorsstyrd formatering" upp i verktygsfältet.</a:t>
          </a:r>
        </a:p>
        <a:p>
          <a:pPr marL="0" marR="0" lvl="0" indent="0" defTabSz="914400" eaLnBrk="1" fontAlgn="auto" latinLnBrk="0" hangingPunct="1">
            <a:lnSpc>
              <a:spcPct val="100000"/>
            </a:lnSpc>
            <a:spcBef>
              <a:spcPts val="0"/>
            </a:spcBef>
            <a:spcAft>
              <a:spcPts val="0"/>
            </a:spcAft>
            <a:buClrTx/>
            <a:buSzTx/>
            <a:buFontTx/>
            <a:buNone/>
            <a:tabLst/>
            <a:defRPr/>
          </a:pPr>
          <a:endParaRPr lang="sv-SE"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aseline="0">
              <a:solidFill>
                <a:schemeClr val="dk1"/>
              </a:solidFill>
              <a:effectLst/>
              <a:latin typeface="+mn-lt"/>
              <a:ea typeface="+mn-ea"/>
              <a:cs typeface="+mn-cs"/>
            </a:rPr>
            <a:t>Risknivåerna 1-7 är en kvalitativ gradering av riskers storlek i enlighet med riskmatrisen under fliken Risknivåer. Om man vill hantera kvantitativa risker bör risknivåerna ändras så att nivåerna av sannolikhet och konsekvens multipliceras. Då behöver man ändra formeln i kolumn för risknivån i fliken Riskregister till E x G.</a:t>
          </a:r>
        </a:p>
        <a:p>
          <a:endParaRPr lang="sv-SE" sz="1200">
            <a:solidFill>
              <a:schemeClr val="dk1"/>
            </a:solidFill>
            <a:effectLst/>
            <a:latin typeface="+mn-lt"/>
            <a:ea typeface="+mn-ea"/>
            <a:cs typeface="+mn-cs"/>
          </a:endParaRPr>
        </a:p>
        <a:p>
          <a:r>
            <a:rPr lang="sv-SE" sz="1200">
              <a:solidFill>
                <a:schemeClr val="dk1"/>
              </a:solidFill>
              <a:effectLst/>
              <a:latin typeface="+mn-lt"/>
              <a:ea typeface="+mn-ea"/>
              <a:cs typeface="+mn-cs"/>
            </a:rPr>
            <a:t>Om man vill ändra antalet nivåer</a:t>
          </a:r>
          <a:r>
            <a:rPr lang="sv-SE" sz="1200" baseline="0">
              <a:solidFill>
                <a:schemeClr val="dk1"/>
              </a:solidFill>
              <a:effectLst/>
              <a:latin typeface="+mn-lt"/>
              <a:ea typeface="+mn-ea"/>
              <a:cs typeface="+mn-cs"/>
            </a:rPr>
            <a:t> av sannolikhet och/eller konsekvens så får man dels ändra i fliken Data samt i formlerna i kolumnerna F och H i fliken Riskregister. I fliken Risknivåer finns inga formler och ingen data hämtas därfrån, så det är bara att ändra text och layout efter behov.  </a:t>
          </a:r>
        </a:p>
        <a:p>
          <a:endParaRPr lang="sv-SE" sz="1400" baseline="0">
            <a:solidFill>
              <a:schemeClr val="dk1"/>
            </a:solidFill>
            <a:effectLst/>
            <a:latin typeface="+mn-lt"/>
            <a:ea typeface="+mn-ea"/>
            <a:cs typeface="+mn-cs"/>
          </a:endParaRPr>
        </a:p>
        <a:p>
          <a:endParaRPr lang="sv-SE" sz="1400" b="1">
            <a:solidFill>
              <a:schemeClr val="dk1"/>
            </a:solidFill>
            <a:effectLst/>
            <a:latin typeface="+mn-lt"/>
            <a:ea typeface="+mn-ea"/>
            <a:cs typeface="+mn-cs"/>
          </a:endParaRPr>
        </a:p>
        <a:p>
          <a:pPr algn="l"/>
          <a:endParaRPr lang="sv-SE" sz="12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B04DB1-59B6-5E40-9F06-8BC825D96F6F}" name="Tabell3" displayName="Tabell3" ref="B2:C3" totalsRowShown="0" headerRowDxfId="41">
  <autoFilter ref="B2:C3" xr:uid="{A4B04DB1-59B6-5E40-9F06-8BC825D96F6F}"/>
  <tableColumns count="2">
    <tableColumn id="1" xr3:uid="{380BF65F-19AC-D949-80E7-99BE5AC1B953}" name="Namn"/>
    <tableColumn id="2" xr3:uid="{6B75B654-75F8-BA43-8125-B91B350BE214}" name="LiU-ID"/>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1" displayName="Tabell1" ref="A5:L16" insertRowShift="1" totalsRowShown="0" headerRowDxfId="55" dataDxfId="54">
  <autoFilter ref="A5:L16" xr:uid="{00000000-0009-0000-0100-000001000000}"/>
  <tableColumns count="12">
    <tableColumn id="1" xr3:uid="{00000000-0010-0000-0000-000001000000}" name="ID" dataDxfId="53"/>
    <tableColumn id="7" xr3:uid="{861B49B3-569A-2D44-8B81-5D8CC13BB40E}" name="Tillgång" dataDxfId="52"/>
    <tableColumn id="8" xr3:uid="{BEDE88F0-F370-AC45-99E7-6441176CB5A3}" name="Egenskap" dataDxfId="51"/>
    <tableColumn id="4" xr3:uid="{00000000-0010-0000-0000-000004000000}" name="Riskscenario" dataDxfId="50"/>
    <tableColumn id="3" xr3:uid="{00000000-0010-0000-0000-000003000000}" name="Orsaksbeskrivning" dataDxfId="49"/>
    <tableColumn id="2" xr3:uid="{00000000-0010-0000-0000-000002000000}" name="Konsekvensbeskrivning" dataDxfId="48"/>
    <tableColumn id="9" xr3:uid="{00000000-0010-0000-0000-000009000000}" name="Värde S 1-4" dataDxfId="47"/>
    <tableColumn id="12" xr3:uid="{00000000-0010-0000-0000-00000C000000}" name="Sannolikhetsnivå" dataDxfId="46"/>
    <tableColumn id="11" xr3:uid="{00000000-0010-0000-0000-00000B000000}" name="Värde K 1-4" dataDxfId="45"/>
    <tableColumn id="10" xr3:uid="{00000000-0010-0000-0000-00000A000000}" name="Konsekvensnivå" dataDxfId="44"/>
    <tableColumn id="5" xr3:uid="{00000000-0010-0000-0000-000005000000}" name="Risknivå" dataDxfId="43"/>
    <tableColumn id="14" xr3:uid="{00000000-0010-0000-0000-00000E000000}" name="Kommentar" dataDxfId="42"/>
  </tableColumns>
  <tableStyleInfo name="TableStyleMedium9"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60" zoomScaleNormal="134" workbookViewId="0">
      <selection activeCell="S18" sqref="S18"/>
    </sheetView>
  </sheetViews>
  <sheetFormatPr defaultColWidth="8.83203125" defaultRowHeight="15.5" x14ac:dyDescent="0.35"/>
  <sheetData/>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7ABB8-20CD-1140-A201-1103E9F41887}">
  <dimension ref="B2:C3"/>
  <sheetViews>
    <sheetView workbookViewId="0">
      <selection activeCell="C10" sqref="C10"/>
    </sheetView>
  </sheetViews>
  <sheetFormatPr defaultColWidth="11" defaultRowHeight="15.5" x14ac:dyDescent="0.35"/>
  <cols>
    <col min="2" max="2" width="25.08203125" customWidth="1"/>
    <col min="3" max="3" width="25.83203125" customWidth="1"/>
  </cols>
  <sheetData>
    <row r="2" spans="2:3" ht="21" customHeight="1" x14ac:dyDescent="0.35">
      <c r="B2" s="34" t="s">
        <v>43</v>
      </c>
      <c r="C2" s="34" t="s">
        <v>42</v>
      </c>
    </row>
    <row r="3" spans="2:3" ht="25" customHeight="1" x14ac:dyDescent="0.35">
      <c r="B3" t="s">
        <v>45</v>
      </c>
      <c r="C3"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1"/>
  <dimension ref="A2:N16"/>
  <sheetViews>
    <sheetView tabSelected="1" topLeftCell="A2" zoomScale="69" zoomScaleNormal="85" workbookViewId="0">
      <selection activeCell="A9" sqref="A9"/>
    </sheetView>
  </sheetViews>
  <sheetFormatPr defaultColWidth="10.83203125" defaultRowHeight="18.5" x14ac:dyDescent="0.45"/>
  <cols>
    <col min="1" max="1" width="12.58203125" style="4" customWidth="1"/>
    <col min="2" max="2" width="30.5" style="4" bestFit="1" customWidth="1"/>
    <col min="3" max="3" width="26.5" style="4" bestFit="1" customWidth="1"/>
    <col min="4" max="4" width="142" style="4" bestFit="1" customWidth="1"/>
    <col min="5" max="5" width="244.83203125" style="4" bestFit="1" customWidth="1"/>
    <col min="6" max="6" width="149.5" style="4" bestFit="1" customWidth="1"/>
    <col min="7" max="7" width="16.58203125" style="4" customWidth="1"/>
    <col min="8" max="8" width="21.08203125" style="4" customWidth="1"/>
    <col min="9" max="9" width="16.08203125" style="4" customWidth="1"/>
    <col min="10" max="10" width="20.08203125" style="4" customWidth="1"/>
    <col min="11" max="11" width="14.83203125" style="5" customWidth="1"/>
    <col min="12" max="12" width="132.08203125" style="5" bestFit="1" customWidth="1"/>
    <col min="13" max="13" width="10.83203125" style="1"/>
    <col min="14" max="14" width="12" style="1" customWidth="1"/>
    <col min="15" max="16384" width="10.83203125" style="1"/>
  </cols>
  <sheetData>
    <row r="2" spans="1:14" ht="36" customHeight="1" x14ac:dyDescent="0.45">
      <c r="A2" s="43" t="s">
        <v>18</v>
      </c>
      <c r="B2" s="8"/>
      <c r="C2" s="8"/>
      <c r="D2" s="8"/>
      <c r="F2" s="6"/>
      <c r="G2" s="6"/>
      <c r="H2" s="6"/>
      <c r="I2" s="6"/>
      <c r="J2" s="6"/>
    </row>
    <row r="3" spans="1:14" x14ac:dyDescent="0.45">
      <c r="K3" s="7"/>
    </row>
    <row r="4" spans="1:14" ht="20.149999999999999" customHeight="1" x14ac:dyDescent="0.45">
      <c r="G4" s="44" t="s">
        <v>13</v>
      </c>
      <c r="H4" s="45"/>
      <c r="I4" s="44" t="s">
        <v>14</v>
      </c>
      <c r="J4" s="45"/>
    </row>
    <row r="5" spans="1:14" ht="19" thickBot="1" x14ac:dyDescent="0.5">
      <c r="A5" s="23" t="s">
        <v>1</v>
      </c>
      <c r="B5" s="23" t="s">
        <v>40</v>
      </c>
      <c r="C5" s="23" t="s">
        <v>47</v>
      </c>
      <c r="D5" s="23" t="s">
        <v>41</v>
      </c>
      <c r="E5" s="23" t="s">
        <v>24</v>
      </c>
      <c r="F5" s="23" t="s">
        <v>19</v>
      </c>
      <c r="G5" s="31" t="s">
        <v>36</v>
      </c>
      <c r="H5" s="32" t="s">
        <v>38</v>
      </c>
      <c r="I5" s="31" t="s">
        <v>37</v>
      </c>
      <c r="J5" s="32" t="s">
        <v>39</v>
      </c>
      <c r="K5" s="24" t="s">
        <v>32</v>
      </c>
      <c r="L5" s="24" t="s">
        <v>17</v>
      </c>
    </row>
    <row r="6" spans="1:14" x14ac:dyDescent="0.45">
      <c r="A6" s="35" t="s">
        <v>2</v>
      </c>
      <c r="B6" s="35" t="s">
        <v>48</v>
      </c>
      <c r="C6" s="35" t="s">
        <v>50</v>
      </c>
      <c r="D6" s="35" t="s">
        <v>57</v>
      </c>
      <c r="E6" s="35" t="s">
        <v>58</v>
      </c>
      <c r="F6" s="35" t="s">
        <v>59</v>
      </c>
      <c r="G6" s="36">
        <v>3</v>
      </c>
      <c r="H6" s="37" t="str">
        <f>IF(ISBLANK(G6),"",VLOOKUP(G6,Data!$C$5:$D$8,2))</f>
        <v>Hög</v>
      </c>
      <c r="I6" s="36">
        <v>3</v>
      </c>
      <c r="J6" s="38" t="str">
        <f>IF(ISBLANK(I6),"",VLOOKUP(I6,Data!$E$5:$F$8,2))</f>
        <v xml:space="preserve">Betydande </v>
      </c>
      <c r="K6" s="33">
        <f t="shared" ref="K6:K14" si="0">IF(ISBLANK(I6),"",G6+I6-1)</f>
        <v>5</v>
      </c>
      <c r="L6" s="35" t="s">
        <v>96</v>
      </c>
    </row>
    <row r="7" spans="1:14" x14ac:dyDescent="0.45">
      <c r="A7" s="35" t="s">
        <v>3</v>
      </c>
      <c r="B7" s="35" t="s">
        <v>48</v>
      </c>
      <c r="C7" s="35" t="s">
        <v>49</v>
      </c>
      <c r="D7" s="35" t="s">
        <v>60</v>
      </c>
      <c r="E7" s="35" t="s">
        <v>61</v>
      </c>
      <c r="F7" s="35" t="s">
        <v>62</v>
      </c>
      <c r="G7" s="36">
        <v>3</v>
      </c>
      <c r="H7" s="37" t="str">
        <f>IF(ISBLANK(G7),"",VLOOKUP(G7,Data!$C$5:$D$8,2))</f>
        <v>Hög</v>
      </c>
      <c r="I7" s="36">
        <v>3</v>
      </c>
      <c r="J7" s="38" t="str">
        <f>IF(ISBLANK(I7),"",VLOOKUP(I7,Data!$E$5:$F$8,2))</f>
        <v xml:space="preserve">Betydande </v>
      </c>
      <c r="K7" s="33">
        <f t="shared" si="0"/>
        <v>5</v>
      </c>
      <c r="L7" s="35" t="s">
        <v>93</v>
      </c>
    </row>
    <row r="8" spans="1:14" x14ac:dyDescent="0.45">
      <c r="A8" s="35" t="s">
        <v>4</v>
      </c>
      <c r="B8" s="35" t="s">
        <v>48</v>
      </c>
      <c r="C8" s="35" t="s">
        <v>51</v>
      </c>
      <c r="D8" s="35" t="s">
        <v>63</v>
      </c>
      <c r="E8" s="35" t="s">
        <v>78</v>
      </c>
      <c r="F8" s="35" t="s">
        <v>79</v>
      </c>
      <c r="G8" s="36">
        <v>2</v>
      </c>
      <c r="H8" s="37" t="str">
        <f>IF(ISBLANK(G8),"",VLOOKUP(G8,Data!$C$5:$D$8,2))</f>
        <v>Medelhög</v>
      </c>
      <c r="I8" s="36">
        <v>3</v>
      </c>
      <c r="J8" s="38" t="str">
        <f>IF(ISBLANK(I8),"",VLOOKUP(I8,Data!$E$5:$F$8,2))</f>
        <v xml:space="preserve">Betydande </v>
      </c>
      <c r="K8" s="33">
        <f t="shared" si="0"/>
        <v>4</v>
      </c>
      <c r="L8" s="35" t="s">
        <v>80</v>
      </c>
    </row>
    <row r="9" spans="1:14" x14ac:dyDescent="0.45">
      <c r="A9" s="35" t="s">
        <v>5</v>
      </c>
      <c r="B9" s="35" t="s">
        <v>52</v>
      </c>
      <c r="C9" s="35" t="s">
        <v>50</v>
      </c>
      <c r="D9" s="35" t="s">
        <v>64</v>
      </c>
      <c r="E9" s="35" t="s">
        <v>81</v>
      </c>
      <c r="F9" s="35" t="s">
        <v>82</v>
      </c>
      <c r="G9" s="36">
        <v>3</v>
      </c>
      <c r="H9" s="37" t="str">
        <f>IF(ISBLANK(G9),"",VLOOKUP(G9,Data!$C$5:$D$8,2))</f>
        <v>Hög</v>
      </c>
      <c r="I9" s="36">
        <v>3</v>
      </c>
      <c r="J9" s="38" t="str">
        <f>IF(ISBLANK(I9),"",VLOOKUP(I9,Data!$E$5:$F$8,2))</f>
        <v xml:space="preserve">Betydande </v>
      </c>
      <c r="K9" s="33">
        <f t="shared" si="0"/>
        <v>5</v>
      </c>
      <c r="L9" s="35" t="s">
        <v>94</v>
      </c>
    </row>
    <row r="10" spans="1:14" x14ac:dyDescent="0.45">
      <c r="A10" s="35" t="s">
        <v>6</v>
      </c>
      <c r="B10" s="35" t="s">
        <v>52</v>
      </c>
      <c r="C10" s="35" t="s">
        <v>49</v>
      </c>
      <c r="D10" s="35" t="s">
        <v>65</v>
      </c>
      <c r="E10" s="35" t="s">
        <v>66</v>
      </c>
      <c r="F10" s="35" t="s">
        <v>67</v>
      </c>
      <c r="G10" s="36">
        <v>3</v>
      </c>
      <c r="H10" s="37" t="str">
        <f>IF(ISBLANK(G10),"",VLOOKUP(G10,Data!$C$5:$D$8,2))</f>
        <v>Hög</v>
      </c>
      <c r="I10" s="36">
        <v>3</v>
      </c>
      <c r="J10" s="38" t="str">
        <f>IF(ISBLANK(I10),"",VLOOKUP(I10,Data!$E$5:$F$8,2))</f>
        <v xml:space="preserve">Betydande </v>
      </c>
      <c r="K10" s="33">
        <f t="shared" si="0"/>
        <v>5</v>
      </c>
      <c r="L10" s="35" t="s">
        <v>95</v>
      </c>
    </row>
    <row r="11" spans="1:14" x14ac:dyDescent="0.45">
      <c r="A11" s="35" t="s">
        <v>7</v>
      </c>
      <c r="B11" s="35" t="s">
        <v>53</v>
      </c>
      <c r="C11" s="35" t="s">
        <v>51</v>
      </c>
      <c r="D11" s="35" t="s">
        <v>77</v>
      </c>
      <c r="E11" s="35" t="s">
        <v>68</v>
      </c>
      <c r="F11" s="41" t="s">
        <v>69</v>
      </c>
      <c r="G11" s="36">
        <v>3</v>
      </c>
      <c r="H11" s="37" t="str">
        <f>IF(ISBLANK(G11),"",VLOOKUP(G11,Data!$C$5:$D$8,2))</f>
        <v>Hög</v>
      </c>
      <c r="I11" s="36">
        <v>4</v>
      </c>
      <c r="J11" s="38" t="str">
        <f>IF(ISBLANK(I11),"",VLOOKUP(I11,Data!$E$5:$F$8,2))</f>
        <v>Allvarlig</v>
      </c>
      <c r="K11" s="33">
        <f t="shared" si="0"/>
        <v>6</v>
      </c>
      <c r="L11" s="35" t="s">
        <v>97</v>
      </c>
    </row>
    <row r="12" spans="1:14" x14ac:dyDescent="0.45">
      <c r="A12" s="35" t="s">
        <v>8</v>
      </c>
      <c r="B12" s="35" t="s">
        <v>53</v>
      </c>
      <c r="C12" s="35" t="s">
        <v>51</v>
      </c>
      <c r="D12" s="35" t="s">
        <v>70</v>
      </c>
      <c r="E12" s="35" t="s">
        <v>71</v>
      </c>
      <c r="F12" s="35" t="s">
        <v>72</v>
      </c>
      <c r="G12" s="36">
        <v>2</v>
      </c>
      <c r="H12" s="37" t="str">
        <f>IF(ISBLANK(G12),"",VLOOKUP(G12,Data!$C$5:$D$8,2))</f>
        <v>Medelhög</v>
      </c>
      <c r="I12" s="36">
        <v>3</v>
      </c>
      <c r="J12" s="38" t="str">
        <f>IF(ISBLANK(I12),"",VLOOKUP(I12,Data!$E$5:$F$8,2))</f>
        <v xml:space="preserve">Betydande </v>
      </c>
      <c r="K12" s="33">
        <f t="shared" si="0"/>
        <v>4</v>
      </c>
      <c r="L12" s="35" t="s">
        <v>98</v>
      </c>
    </row>
    <row r="13" spans="1:14" x14ac:dyDescent="0.45">
      <c r="A13" s="35" t="s">
        <v>9</v>
      </c>
      <c r="B13" s="35" t="s">
        <v>54</v>
      </c>
      <c r="C13" s="35" t="s">
        <v>49</v>
      </c>
      <c r="D13" s="35" t="s">
        <v>73</v>
      </c>
      <c r="E13" s="35" t="s">
        <v>83</v>
      </c>
      <c r="F13" s="35" t="s">
        <v>84</v>
      </c>
      <c r="G13" s="39">
        <v>2</v>
      </c>
      <c r="H13" s="38" t="str">
        <f>IF(ISBLANK(G13),"",VLOOKUP(G13,Data!$C$5:$D$8,2))</f>
        <v>Medelhög</v>
      </c>
      <c r="I13" s="39">
        <v>3</v>
      </c>
      <c r="J13" s="38" t="str">
        <f>IF(ISBLANK(I13),"",VLOOKUP(I13,Data!$E$5:$F$8,2))</f>
        <v xml:space="preserve">Betydande </v>
      </c>
      <c r="K13" s="33">
        <f t="shared" si="0"/>
        <v>4</v>
      </c>
      <c r="L13" s="35" t="s">
        <v>85</v>
      </c>
    </row>
    <row r="14" spans="1:14" x14ac:dyDescent="0.45">
      <c r="A14" s="35" t="s">
        <v>10</v>
      </c>
      <c r="B14" s="35" t="s">
        <v>54</v>
      </c>
      <c r="C14" s="35" t="s">
        <v>51</v>
      </c>
      <c r="D14" s="35" t="s">
        <v>74</v>
      </c>
      <c r="E14" s="35" t="s">
        <v>86</v>
      </c>
      <c r="F14" s="40" t="s">
        <v>87</v>
      </c>
      <c r="G14" s="39">
        <v>3</v>
      </c>
      <c r="H14" s="38" t="str">
        <f>IF(ISBLANK(G14),"",VLOOKUP(G14,Data!$C$5:$D$8,2))</f>
        <v>Hög</v>
      </c>
      <c r="I14" s="39">
        <v>3</v>
      </c>
      <c r="J14" s="38" t="str">
        <f>IF(ISBLANK(I14),"",VLOOKUP(I14,Data!$E$5:$F$8,2))</f>
        <v xml:space="preserve">Betydande </v>
      </c>
      <c r="K14" s="33">
        <f t="shared" si="0"/>
        <v>5</v>
      </c>
      <c r="L14" s="35" t="s">
        <v>99</v>
      </c>
      <c r="N14" s="3"/>
    </row>
    <row r="15" spans="1:14" x14ac:dyDescent="0.45">
      <c r="A15" s="35" t="s">
        <v>11</v>
      </c>
      <c r="B15" s="35" t="s">
        <v>55</v>
      </c>
      <c r="C15" s="35" t="s">
        <v>49</v>
      </c>
      <c r="D15" s="35" t="s">
        <v>75</v>
      </c>
      <c r="E15" s="35" t="s">
        <v>88</v>
      </c>
      <c r="F15" s="35" t="s">
        <v>89</v>
      </c>
      <c r="G15" s="39">
        <v>2</v>
      </c>
      <c r="H15" s="38" t="str">
        <f>IF(ISBLANK(G15),"",VLOOKUP(G15,Data!$C$5:$D$8,2))</f>
        <v>Medelhög</v>
      </c>
      <c r="I15" s="39">
        <v>3</v>
      </c>
      <c r="J15" s="38" t="str">
        <f>IF(ISBLANK(I15),"",VLOOKUP(I15,Data!$E$5:$F$8,2))</f>
        <v xml:space="preserve">Betydande </v>
      </c>
      <c r="K15" s="33">
        <f>IF(ISBLANK(I15),"",G15+I15-1)</f>
        <v>4</v>
      </c>
      <c r="L15" s="35" t="s">
        <v>100</v>
      </c>
      <c r="M15" s="25"/>
    </row>
    <row r="16" spans="1:14" x14ac:dyDescent="0.45">
      <c r="A16" s="35" t="s">
        <v>12</v>
      </c>
      <c r="B16" s="35" t="s">
        <v>56</v>
      </c>
      <c r="C16" s="35" t="s">
        <v>49</v>
      </c>
      <c r="D16" s="35" t="s">
        <v>76</v>
      </c>
      <c r="E16" s="35" t="s">
        <v>90</v>
      </c>
      <c r="F16" s="35" t="s">
        <v>91</v>
      </c>
      <c r="G16" s="39">
        <v>2</v>
      </c>
      <c r="H16" s="38" t="str">
        <f>IF(ISBLANK(G16),"",VLOOKUP(G16,Data!$C$5:$D$8,2))</f>
        <v>Medelhög</v>
      </c>
      <c r="I16" s="39">
        <v>3</v>
      </c>
      <c r="J16" s="38" t="str">
        <f>IF(ISBLANK(I16),"",VLOOKUP(I16,Data!$E$5:$F$8,2))</f>
        <v xml:space="preserve">Betydande </v>
      </c>
      <c r="K16" s="33">
        <f t="shared" ref="K16" si="1">IF(ISBLANK(I16),"",G16+I16-1)</f>
        <v>4</v>
      </c>
      <c r="L16" s="35" t="s">
        <v>92</v>
      </c>
      <c r="M16" s="25"/>
    </row>
  </sheetData>
  <mergeCells count="2">
    <mergeCell ref="G4:H4"/>
    <mergeCell ref="I4:J4"/>
  </mergeCells>
  <conditionalFormatting sqref="G6:G16">
    <cfRule type="containsText" dxfId="40" priority="5" operator="containsText" text="4">
      <formula>NOT(ISERROR(SEARCH("4",G6)))</formula>
    </cfRule>
    <cfRule type="cellIs" dxfId="39" priority="43" operator="equal">
      <formula>3</formula>
    </cfRule>
    <cfRule type="cellIs" dxfId="38" priority="44" operator="equal">
      <formula>2</formula>
    </cfRule>
    <cfRule type="cellIs" dxfId="37" priority="47" operator="equal">
      <formula>1</formula>
    </cfRule>
  </conditionalFormatting>
  <conditionalFormatting sqref="H6">
    <cfRule type="containsText" dxfId="36" priority="42" operator="containsText" text="Mycket hög">
      <formula>NOT(ISERROR(SEARCH("Mycket hög",H6)))</formula>
    </cfRule>
  </conditionalFormatting>
  <conditionalFormatting sqref="H6:H16">
    <cfRule type="containsText" dxfId="35" priority="1" operator="containsText" text="Mycket hög">
      <formula>NOT(ISERROR(SEARCH("Mycket hög",H6)))</formula>
    </cfRule>
    <cfRule type="containsText" dxfId="34" priority="2" operator="containsText" text="Låg">
      <formula>NOT(ISERROR(SEARCH("Låg",H6)))</formula>
    </cfRule>
    <cfRule type="containsText" dxfId="33" priority="3" operator="containsText" text="Medelhög">
      <formula>NOT(ISERROR(SEARCH("Medelhög",H6)))</formula>
    </cfRule>
    <cfRule type="containsText" dxfId="32" priority="4" operator="containsText" text="Hög">
      <formula>NOT(ISERROR(SEARCH("Hög",H6)))</formula>
    </cfRule>
    <cfRule type="containsText" dxfId="31" priority="21" operator="containsText" text="Mycket hög">
      <formula>NOT(ISERROR(SEARCH("Mycket hög",H6)))</formula>
    </cfRule>
    <cfRule type="containsText" dxfId="30" priority="35" operator="containsText" text="Hög">
      <formula>NOT(ISERROR(SEARCH("Hög",H6)))</formula>
    </cfRule>
    <cfRule type="containsText" dxfId="29" priority="36" operator="containsText" text="Medelhög">
      <formula>NOT(ISERROR(SEARCH("Medelhög",H6)))</formula>
    </cfRule>
    <cfRule type="containsText" dxfId="28" priority="37" operator="containsText" text="Låg">
      <formula>NOT(ISERROR(SEARCH("Låg",H6)))</formula>
    </cfRule>
  </conditionalFormatting>
  <conditionalFormatting sqref="H9">
    <cfRule type="containsText" dxfId="27" priority="18" operator="containsText" text="Medelhög">
      <formula>NOT(ISERROR(SEARCH("Medelhög",H9)))</formula>
    </cfRule>
    <cfRule type="containsText" dxfId="26" priority="19" operator="containsText" text="Låg">
      <formula>NOT(ISERROR(SEARCH("Låg",H9)))</formula>
    </cfRule>
    <cfRule type="containsText" dxfId="25" priority="20" operator="containsText" text="Hög">
      <formula>NOT(ISERROR(SEARCH("Hög",H9)))</formula>
    </cfRule>
  </conditionalFormatting>
  <conditionalFormatting sqref="H13:H14">
    <cfRule type="containsText" dxfId="24" priority="9" operator="containsText" text="Mycket hög">
      <formula>NOT(ISERROR(SEARCH("Mycket hög",H13)))</formula>
    </cfRule>
    <cfRule type="containsText" dxfId="23" priority="15" operator="containsText" text="Hög">
      <formula>NOT(ISERROR(SEARCH("Hög",H13)))</formula>
    </cfRule>
    <cfRule type="containsText" dxfId="22" priority="16" operator="containsText" text="Medelhög">
      <formula>NOT(ISERROR(SEARCH("Medelhög",H13)))</formula>
    </cfRule>
    <cfRule type="containsText" dxfId="21" priority="17" operator="containsText" text="Låg">
      <formula>NOT(ISERROR(SEARCH("Låg",H13)))</formula>
    </cfRule>
  </conditionalFormatting>
  <conditionalFormatting sqref="H14">
    <cfRule type="containsText" dxfId="20" priority="6" operator="containsText" text="Måttlig">
      <formula>NOT(ISERROR(SEARCH("Måttlig",H14)))</formula>
    </cfRule>
    <cfRule type="containsText" dxfId="19" priority="7" operator="containsText" text="Försumbar">
      <formula>NOT(ISERROR(SEARCH("Försumbar",H14)))</formula>
    </cfRule>
    <cfRule type="containsText" dxfId="18" priority="8" operator="containsText" text="Hög">
      <formula>NOT(ISERROR(SEARCH("Hög",H14)))</formula>
    </cfRule>
  </conditionalFormatting>
  <conditionalFormatting sqref="I6:I16">
    <cfRule type="cellIs" dxfId="17" priority="38" operator="equal">
      <formula>4</formula>
    </cfRule>
    <cfRule type="cellIs" dxfId="16" priority="39" operator="equal">
      <formula>3</formula>
    </cfRule>
    <cfRule type="cellIs" dxfId="15" priority="40" operator="equal">
      <formula>2</formula>
    </cfRule>
    <cfRule type="cellIs" dxfId="14" priority="41" operator="equal">
      <formula>1</formula>
    </cfRule>
  </conditionalFormatting>
  <conditionalFormatting sqref="J6:J16">
    <cfRule type="containsText" dxfId="13" priority="71" operator="containsText" text="Måttlig">
      <formula>NOT(ISERROR(SEARCH("Måttlig",J6)))</formula>
    </cfRule>
    <cfRule type="containsText" dxfId="12" priority="72" operator="containsText" text="Försumbar">
      <formula>NOT(ISERROR(SEARCH("Försumbar",J6)))</formula>
    </cfRule>
    <cfRule type="containsText" dxfId="11" priority="73" operator="containsText" text="Betydande">
      <formula>NOT(ISERROR(SEARCH("Betydande",J6)))</formula>
    </cfRule>
    <cfRule type="containsText" dxfId="10" priority="74" operator="containsText" text="Allvarlig">
      <formula>NOT(ISERROR(SEARCH("Allvarlig",J6)))</formula>
    </cfRule>
  </conditionalFormatting>
  <conditionalFormatting sqref="K6:K16">
    <cfRule type="containsText" dxfId="9" priority="48" operator="containsText" text="7">
      <formula>NOT(ISERROR(SEARCH("7",K6)))</formula>
    </cfRule>
    <cfRule type="containsText" dxfId="8" priority="49" operator="containsText" text="6">
      <formula>NOT(ISERROR(SEARCH("6",K6)))</formula>
    </cfRule>
    <cfRule type="containsText" dxfId="7" priority="66" operator="containsText" text="5">
      <formula>NOT(ISERROR(SEARCH("5",K6)))</formula>
    </cfRule>
    <cfRule type="containsText" dxfId="6" priority="67" operator="containsText" text="4">
      <formula>NOT(ISERROR(SEARCH("4",K6)))</formula>
    </cfRule>
    <cfRule type="containsText" dxfId="5" priority="68" operator="containsText" text="3">
      <formula>NOT(ISERROR(SEARCH("3",K6)))</formula>
    </cfRule>
    <cfRule type="containsText" dxfId="4" priority="69" operator="containsText" text="2">
      <formula>NOT(ISERROR(SEARCH("2",K6)))</formula>
    </cfRule>
    <cfRule type="containsText" dxfId="3" priority="70" operator="containsText" text="1">
      <formula>NOT(ISERROR(SEARCH("1",K6)))</formula>
    </cfRule>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20"/>
  <sheetViews>
    <sheetView zoomScale="77" zoomScaleNormal="120" workbookViewId="0">
      <selection activeCell="A2" sqref="A2"/>
    </sheetView>
  </sheetViews>
  <sheetFormatPr defaultColWidth="10.58203125" defaultRowHeight="15.5" x14ac:dyDescent="0.35"/>
  <cols>
    <col min="1" max="1" width="2" bestFit="1" customWidth="1"/>
    <col min="2" max="2" width="10.25" bestFit="1" customWidth="1"/>
    <col min="3" max="3" width="38.08203125" bestFit="1" customWidth="1"/>
    <col min="4" max="4" width="57.75" bestFit="1" customWidth="1"/>
    <col min="5" max="5" width="42" bestFit="1" customWidth="1"/>
    <col min="6" max="6" width="85.25" bestFit="1" customWidth="1"/>
  </cols>
  <sheetData>
    <row r="2" spans="1:11" ht="33.5" x14ac:dyDescent="0.75">
      <c r="A2" s="42" t="s">
        <v>26</v>
      </c>
    </row>
    <row r="4" spans="1:11" ht="18.5" x14ac:dyDescent="0.45">
      <c r="B4" s="2" t="s">
        <v>34</v>
      </c>
      <c r="H4" s="1" t="s">
        <v>25</v>
      </c>
    </row>
    <row r="6" spans="1:11" x14ac:dyDescent="0.35">
      <c r="C6" s="34" t="s">
        <v>29</v>
      </c>
      <c r="D6" s="34" t="s">
        <v>30</v>
      </c>
      <c r="E6" s="34" t="s">
        <v>31</v>
      </c>
      <c r="F6" s="34" t="s">
        <v>44</v>
      </c>
      <c r="G6">
        <v>4</v>
      </c>
      <c r="H6" s="12">
        <v>4</v>
      </c>
      <c r="I6" s="15">
        <v>5</v>
      </c>
      <c r="J6" s="14">
        <v>6</v>
      </c>
      <c r="K6" s="13">
        <v>7</v>
      </c>
    </row>
    <row r="7" spans="1:11" ht="18" customHeight="1" x14ac:dyDescent="0.35">
      <c r="A7">
        <v>4</v>
      </c>
      <c r="B7" s="26" t="s">
        <v>16</v>
      </c>
      <c r="C7" t="s">
        <v>101</v>
      </c>
      <c r="D7" t="s">
        <v>102</v>
      </c>
      <c r="E7" t="s">
        <v>103</v>
      </c>
      <c r="F7" t="s">
        <v>104</v>
      </c>
      <c r="G7">
        <v>3</v>
      </c>
      <c r="H7" s="10">
        <v>3</v>
      </c>
      <c r="I7" s="12">
        <v>4</v>
      </c>
      <c r="J7" s="15">
        <v>5</v>
      </c>
      <c r="K7" s="14">
        <v>6</v>
      </c>
    </row>
    <row r="8" spans="1:11" ht="18.75" customHeight="1" x14ac:dyDescent="0.35">
      <c r="A8">
        <v>3</v>
      </c>
      <c r="B8" s="27" t="s">
        <v>23</v>
      </c>
      <c r="C8" t="s">
        <v>105</v>
      </c>
      <c r="D8" t="s">
        <v>106</v>
      </c>
      <c r="E8" t="s">
        <v>107</v>
      </c>
      <c r="F8" t="s">
        <v>108</v>
      </c>
      <c r="G8">
        <v>2</v>
      </c>
      <c r="H8" s="9">
        <v>2</v>
      </c>
      <c r="I8" s="10">
        <v>3</v>
      </c>
      <c r="J8" s="12">
        <v>4</v>
      </c>
      <c r="K8" s="15">
        <v>5</v>
      </c>
    </row>
    <row r="9" spans="1:11" ht="18.75" customHeight="1" x14ac:dyDescent="0.35">
      <c r="A9">
        <v>2</v>
      </c>
      <c r="B9" s="28" t="s">
        <v>27</v>
      </c>
      <c r="C9" t="s">
        <v>109</v>
      </c>
      <c r="D9" t="s">
        <v>110</v>
      </c>
      <c r="E9" t="s">
        <v>111</v>
      </c>
      <c r="F9" t="s">
        <v>120</v>
      </c>
      <c r="G9">
        <v>1</v>
      </c>
      <c r="H9" s="11">
        <v>1</v>
      </c>
      <c r="I9" s="9">
        <v>2</v>
      </c>
      <c r="J9" s="10">
        <v>3</v>
      </c>
      <c r="K9" s="12">
        <v>4</v>
      </c>
    </row>
    <row r="10" spans="1:11" ht="18.75" customHeight="1" x14ac:dyDescent="0.35">
      <c r="A10">
        <v>1</v>
      </c>
      <c r="B10" s="29" t="s">
        <v>28</v>
      </c>
      <c r="C10" t="s">
        <v>112</v>
      </c>
      <c r="D10" t="s">
        <v>119</v>
      </c>
      <c r="E10" t="s">
        <v>113</v>
      </c>
      <c r="F10" t="s">
        <v>114</v>
      </c>
      <c r="H10">
        <v>1</v>
      </c>
      <c r="I10">
        <v>2</v>
      </c>
      <c r="J10">
        <v>3</v>
      </c>
      <c r="K10">
        <v>4</v>
      </c>
    </row>
    <row r="11" spans="1:11" ht="18.5" x14ac:dyDescent="0.45">
      <c r="C11" s="1"/>
    </row>
    <row r="12" spans="1:11" ht="18.5" x14ac:dyDescent="0.45">
      <c r="B12" s="2" t="s">
        <v>35</v>
      </c>
      <c r="H12" s="1" t="s">
        <v>26</v>
      </c>
    </row>
    <row r="14" spans="1:11" x14ac:dyDescent="0.35">
      <c r="A14">
        <v>4</v>
      </c>
      <c r="B14" s="26" t="s">
        <v>20</v>
      </c>
      <c r="C14" t="s">
        <v>115</v>
      </c>
      <c r="H14" s="16">
        <v>7</v>
      </c>
    </row>
    <row r="15" spans="1:11" x14ac:dyDescent="0.35">
      <c r="A15">
        <v>3</v>
      </c>
      <c r="B15" s="27" t="s">
        <v>21</v>
      </c>
      <c r="C15" t="s">
        <v>116</v>
      </c>
      <c r="H15" s="17">
        <v>6</v>
      </c>
    </row>
    <row r="16" spans="1:11" x14ac:dyDescent="0.35">
      <c r="A16">
        <v>2</v>
      </c>
      <c r="B16" s="28" t="s">
        <v>22</v>
      </c>
      <c r="C16" t="s">
        <v>117</v>
      </c>
      <c r="H16" s="18">
        <v>5</v>
      </c>
    </row>
    <row r="17" spans="1:8" ht="16" customHeight="1" x14ac:dyDescent="0.35">
      <c r="A17">
        <v>1</v>
      </c>
      <c r="B17" s="29" t="s">
        <v>15</v>
      </c>
      <c r="C17" t="s">
        <v>118</v>
      </c>
      <c r="H17" s="19">
        <v>4</v>
      </c>
    </row>
    <row r="18" spans="1:8" x14ac:dyDescent="0.35">
      <c r="H18" s="20">
        <v>3</v>
      </c>
    </row>
    <row r="19" spans="1:8" x14ac:dyDescent="0.35">
      <c r="H19" s="21">
        <v>2</v>
      </c>
    </row>
    <row r="20" spans="1:8" x14ac:dyDescent="0.35">
      <c r="H20" s="22">
        <v>1</v>
      </c>
    </row>
  </sheetData>
  <conditionalFormatting sqref="B14">
    <cfRule type="containsText" dxfId="2" priority="2" operator="containsText" text="Ja">
      <formula>NOT(ISERROR(SEARCH("Ja",B14)))</formula>
    </cfRule>
  </conditionalFormatting>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3"/>
  <dimension ref="B2:J22"/>
  <sheetViews>
    <sheetView workbookViewId="0">
      <selection activeCell="AD26" sqref="AD26"/>
    </sheetView>
  </sheetViews>
  <sheetFormatPr defaultColWidth="10.83203125" defaultRowHeight="18.5" x14ac:dyDescent="0.45"/>
  <cols>
    <col min="1" max="1" width="10.83203125" style="1"/>
    <col min="2" max="2" width="12.83203125" style="1" customWidth="1"/>
    <col min="3" max="3" width="5" style="1" customWidth="1"/>
    <col min="4" max="4" width="17.08203125" style="1" customWidth="1"/>
    <col min="5" max="5" width="4.58203125" style="1" customWidth="1"/>
    <col min="6" max="6" width="17" style="1" customWidth="1"/>
    <col min="7" max="7" width="3.08203125" style="1" customWidth="1"/>
    <col min="8" max="8" width="10.83203125" style="1"/>
    <col min="9" max="9" width="3.33203125" style="1" customWidth="1"/>
    <col min="10" max="16384" width="10.83203125" style="1"/>
  </cols>
  <sheetData>
    <row r="2" spans="2:10" x14ac:dyDescent="0.45">
      <c r="B2" s="2" t="s">
        <v>0</v>
      </c>
    </row>
    <row r="4" spans="2:10" ht="48.65" customHeight="1" x14ac:dyDescent="0.45">
      <c r="B4" s="2"/>
      <c r="C4" s="2"/>
      <c r="D4" s="2" t="s">
        <v>13</v>
      </c>
      <c r="E4" s="2"/>
      <c r="F4" s="2" t="s">
        <v>14</v>
      </c>
      <c r="H4" s="2"/>
      <c r="J4" s="2"/>
    </row>
    <row r="5" spans="2:10" x14ac:dyDescent="0.45">
      <c r="C5" s="1">
        <v>1</v>
      </c>
      <c r="D5" s="1" t="s">
        <v>15</v>
      </c>
      <c r="E5" s="1">
        <v>1</v>
      </c>
      <c r="F5" s="1" t="s">
        <v>28</v>
      </c>
    </row>
    <row r="6" spans="2:10" x14ac:dyDescent="0.45">
      <c r="C6" s="1">
        <v>2</v>
      </c>
      <c r="D6" s="1" t="s">
        <v>22</v>
      </c>
      <c r="E6" s="1">
        <v>2</v>
      </c>
      <c r="F6" s="30" t="s">
        <v>27</v>
      </c>
    </row>
    <row r="7" spans="2:10" x14ac:dyDescent="0.45">
      <c r="C7" s="1">
        <v>3</v>
      </c>
      <c r="D7" s="1" t="s">
        <v>21</v>
      </c>
      <c r="E7" s="1">
        <v>3</v>
      </c>
      <c r="F7" s="30" t="s">
        <v>33</v>
      </c>
    </row>
    <row r="8" spans="2:10" x14ac:dyDescent="0.45">
      <c r="C8" s="1">
        <v>4</v>
      </c>
      <c r="D8" s="1" t="s">
        <v>20</v>
      </c>
      <c r="E8" s="1">
        <v>4</v>
      </c>
      <c r="F8" s="30" t="s">
        <v>16</v>
      </c>
    </row>
    <row r="22" spans="6:8" x14ac:dyDescent="0.45">
      <c r="F22" s="2"/>
      <c r="H22" s="2"/>
    </row>
  </sheetData>
  <conditionalFormatting sqref="B6">
    <cfRule type="containsText" dxfId="1" priority="2" operator="containsText" text="Ja">
      <formula>NOT(ISERROR(SEARCH("Ja",B6)))</formula>
    </cfRule>
  </conditionalFormatting>
  <conditionalFormatting sqref="F24">
    <cfRule type="containsText" dxfId="0" priority="1" operator="containsText" text="Ja">
      <formula>NOT(ISERROR(SEARCH("Ja",F24)))</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9d21a34-e7ae-4e9c-84b6-6a2dfc5099e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1A99E86E3941945A234375200FE3F4C" ma:contentTypeVersion="11" ma:contentTypeDescription="Create a new document." ma:contentTypeScope="" ma:versionID="91a0901c31ee2a9707487ee5a6622597">
  <xsd:schema xmlns:xsd="http://www.w3.org/2001/XMLSchema" xmlns:xs="http://www.w3.org/2001/XMLSchema" xmlns:p="http://schemas.microsoft.com/office/2006/metadata/properties" xmlns:ns2="99d21a34-e7ae-4e9c-84b6-6a2dfc5099e9" targetNamespace="http://schemas.microsoft.com/office/2006/metadata/properties" ma:root="true" ma:fieldsID="199eda0f697354c0b39f10e72f72cb3c" ns2:_="">
    <xsd:import namespace="99d21a34-e7ae-4e9c-84b6-6a2dfc5099e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d21a34-e7ae-4e9c-84b6-6a2dfc5099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fd87c23-3b26-4c21-8b68-2b726711386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F3C1ED-2C92-4A26-AED3-E78B6E6FCEFD}">
  <ds:schemaRefs>
    <ds:schemaRef ds:uri="http://purl.org/dc/elements/1.1/"/>
    <ds:schemaRef ds:uri="http://schemas.microsoft.com/office/2006/metadata/properties"/>
    <ds:schemaRef ds:uri="94da96c5-e677-46fc-9951-f0dd38538401"/>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1B7DA3CF-8BDA-4A20-86CC-56C89842DDE5}">
  <ds:schemaRefs>
    <ds:schemaRef ds:uri="http://schemas.microsoft.com/sharepoint/v3/contenttype/forms"/>
  </ds:schemaRefs>
</ds:datastoreItem>
</file>

<file path=customXml/itemProps3.xml><?xml version="1.0" encoding="utf-8"?>
<ds:datastoreItem xmlns:ds="http://schemas.openxmlformats.org/officeDocument/2006/customXml" ds:itemID="{AB25443D-E2FB-494B-AFD9-E5162027631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Kalkylblad</vt:lpstr>
      </vt:variant>
      <vt:variant>
        <vt:i4>5</vt:i4>
      </vt:variant>
    </vt:vector>
  </HeadingPairs>
  <TitlesOfParts>
    <vt:vector size="5" baseType="lpstr">
      <vt:lpstr>0 Manual</vt:lpstr>
      <vt:lpstr>Studentdata</vt:lpstr>
      <vt:lpstr>Riskregister</vt:lpstr>
      <vt:lpstr>Risknivåer</vt:lpstr>
      <vt:lpstr>Data</vt:lpstr>
    </vt:vector>
  </TitlesOfParts>
  <Company>Visente Information Security AB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Microsoft Office-användare</dc:creator>
  <cp:lastModifiedBy>Erik Östenberg</cp:lastModifiedBy>
  <cp:lastPrinted>2021-11-02T12:23:09Z</cp:lastPrinted>
  <dcterms:created xsi:type="dcterms:W3CDTF">2016-11-10T13:42:25Z</dcterms:created>
  <dcterms:modified xsi:type="dcterms:W3CDTF">2026-10-08T19:25:42Z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0x010100E1A99E86E3941945A234375200FE3F4C</vt:lpwstr>
  </property>
  <property fmtid="{D5CDD505-2E9C-101B-9397-08002B2CF9AE}" pid="3" name="MSB_SiteBusinessProcess">
    <vt:lpwstr>1;#Standard|42db7290-f92b-446b-999c-1bee6d848af0</vt:lpwstr>
  </property>
  <property fmtid="{D5CDD505-2E9C-101B-9397-08002B2CF9AE}" pid="4" name="MSB_DocumentType">
    <vt:lpwstr/>
  </property>
</Properties>
</file>