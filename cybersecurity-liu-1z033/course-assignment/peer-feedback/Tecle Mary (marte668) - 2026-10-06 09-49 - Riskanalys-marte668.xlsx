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d.docs.live.net/ddbf18f3fea683ab/Skrivbord/"/>
    </mc:Choice>
  </mc:AlternateContent>
  <xr:revisionPtr revIDLastSave="16" documentId="8_{2022E0C6-716C-4FA8-ACEC-DB6B08B42859}" xr6:coauthVersionLast="47" xr6:coauthVersionMax="47" xr10:uidLastSave="{83D91DAB-B8DB-468E-89E4-9501D94F4EE5}"/>
  <bookViews>
    <workbookView xWindow="480" yWindow="180" windowWidth="10400" windowHeight="13100" tabRatio="500" firstSheet="2" activeTab="2" xr2:uid="{00000000-000D-0000-FFFF-FFFF00000000}"/>
  </bookViews>
  <sheets>
    <sheet name="0 Manual" sheetId="7" r:id="rId1"/>
    <sheet name="Studentdata" sheetId="9" r:id="rId2"/>
    <sheet name="Riskregister" sheetId="1" r:id="rId3"/>
    <sheet name="Risknivåer" sheetId="8" r:id="rId4"/>
    <sheet name="Data" sheetId="3" r:id="rId5"/>
    <sheet name="Referenslista" sheetId="11" r:id="rId6"/>
  </sheet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6" i="1" l="1"/>
  <c r="J16" i="1"/>
  <c r="K16" i="1"/>
  <c r="J15" i="1"/>
  <c r="J14" i="1"/>
  <c r="J13" i="1"/>
  <c r="H13" i="1"/>
  <c r="K13" i="1"/>
  <c r="H14" i="1"/>
  <c r="K14" i="1"/>
  <c r="H15" i="1"/>
  <c r="K15" i="1"/>
  <c r="H7" i="1"/>
  <c r="J7" i="1"/>
  <c r="K7" i="1"/>
  <c r="H8" i="1"/>
  <c r="J8" i="1"/>
  <c r="K8" i="1"/>
  <c r="H9" i="1"/>
  <c r="J9" i="1"/>
  <c r="K9" i="1"/>
  <c r="H10" i="1"/>
  <c r="J10" i="1"/>
  <c r="K10" i="1"/>
  <c r="H11" i="1"/>
  <c r="J11" i="1"/>
  <c r="K11" i="1"/>
  <c r="H12" i="1"/>
  <c r="J12" i="1"/>
  <c r="K12" i="1"/>
  <c r="K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alcChain>
</file>

<file path=xl/sharedStrings.xml><?xml version="1.0" encoding="utf-8"?>
<sst xmlns="http://schemas.openxmlformats.org/spreadsheetml/2006/main" count="192" uniqueCount="167">
  <si>
    <t>Detta ark används av Excel för att hämta uppgifter som används i de andra kalkylarken. Normalt sett behöver ni inte ändra här.</t>
  </si>
  <si>
    <t>ID</t>
  </si>
  <si>
    <t>Risk-001</t>
  </si>
  <si>
    <t>Risk-002</t>
  </si>
  <si>
    <t>Risk-003</t>
  </si>
  <si>
    <t>Risk-004</t>
  </si>
  <si>
    <t>Risk-005</t>
  </si>
  <si>
    <t>Risk-006</t>
  </si>
  <si>
    <t>Risk-007</t>
  </si>
  <si>
    <t>Risk-008</t>
  </si>
  <si>
    <t>Risk-009</t>
  </si>
  <si>
    <t>Risk-010</t>
  </si>
  <si>
    <t>Risk-011</t>
  </si>
  <si>
    <t>Risk-013</t>
  </si>
  <si>
    <t>Risk-014</t>
  </si>
  <si>
    <t>Risk-015</t>
  </si>
  <si>
    <t>Risk-016</t>
  </si>
  <si>
    <t>Risk-017</t>
  </si>
  <si>
    <t>Risk-018</t>
  </si>
  <si>
    <t>Risk-019</t>
  </si>
  <si>
    <t>Risk-020</t>
  </si>
  <si>
    <t>Risk-021</t>
  </si>
  <si>
    <t>Risk-022</t>
  </si>
  <si>
    <t>Risk-023</t>
  </si>
  <si>
    <t>Risk-024</t>
  </si>
  <si>
    <t>Risk-025</t>
  </si>
  <si>
    <t>Risk-026</t>
  </si>
  <si>
    <t>Risk-027</t>
  </si>
  <si>
    <t>Risk-028</t>
  </si>
  <si>
    <t>Risk-029</t>
  </si>
  <si>
    <t>Risk-030</t>
  </si>
  <si>
    <t>Risk-031</t>
  </si>
  <si>
    <t>Risk-032</t>
  </si>
  <si>
    <t>Risk-033</t>
  </si>
  <si>
    <t>Risk-034</t>
  </si>
  <si>
    <t>Risk-035</t>
  </si>
  <si>
    <t>Risk-036</t>
  </si>
  <si>
    <t>Risk-037</t>
  </si>
  <si>
    <t>Risk-038</t>
  </si>
  <si>
    <t>Risk-039</t>
  </si>
  <si>
    <t>Risk-040</t>
  </si>
  <si>
    <t>Risk-041</t>
  </si>
  <si>
    <t>Risk-042</t>
  </si>
  <si>
    <t>Risk-043</t>
  </si>
  <si>
    <t>Risk-044</t>
  </si>
  <si>
    <t>Risk-045</t>
  </si>
  <si>
    <t>Risk-046</t>
  </si>
  <si>
    <t>Risk-047</t>
  </si>
  <si>
    <t>Risk-048</t>
  </si>
  <si>
    <t>Risk-049</t>
  </si>
  <si>
    <t>Risk-050</t>
  </si>
  <si>
    <t>Sannolikhet</t>
  </si>
  <si>
    <t>Konsekvens</t>
  </si>
  <si>
    <t>Låg</t>
  </si>
  <si>
    <t>Allvarlig</t>
  </si>
  <si>
    <t>Kommentar</t>
  </si>
  <si>
    <t>Analys Risk - Riskregister</t>
  </si>
  <si>
    <t>Konsekvensbeskrivning</t>
  </si>
  <si>
    <t>Mycket hög</t>
  </si>
  <si>
    <t>Hög</t>
  </si>
  <si>
    <t>Medelhög</t>
  </si>
  <si>
    <t>Betydande</t>
  </si>
  <si>
    <t>Orsaksbeskrivning</t>
  </si>
  <si>
    <t>Riskmatris</t>
  </si>
  <si>
    <t>Risknivåer</t>
  </si>
  <si>
    <t>Måttlig</t>
  </si>
  <si>
    <t>Försumbar</t>
  </si>
  <si>
    <t>Ekonomisk förlust</t>
  </si>
  <si>
    <t>Minskat förtroende</t>
  </si>
  <si>
    <t>Avbrott i verksamheten</t>
  </si>
  <si>
    <t>Risknivå</t>
  </si>
  <si>
    <t xml:space="preserve">Betydande </t>
  </si>
  <si>
    <t>Konsekvensnivåer</t>
  </si>
  <si>
    <t>Sannolikhetsnivåer</t>
  </si>
  <si>
    <t>Värde S 1-4</t>
  </si>
  <si>
    <t>Värde K 1-4</t>
  </si>
  <si>
    <t>Sannolikhetsnivå</t>
  </si>
  <si>
    <t>Konsekvensnivå</t>
  </si>
  <si>
    <t>Tillgång</t>
  </si>
  <si>
    <t>Riskscenario</t>
  </si>
  <si>
    <t>Egenskap (CIA/STRIDE)</t>
  </si>
  <si>
    <t>LiU-ID</t>
  </si>
  <si>
    <t>Namn</t>
  </si>
  <si>
    <t>Bristande regelefterlevnad</t>
  </si>
  <si>
    <t>Mary Tecle</t>
  </si>
  <si>
    <t>marte668</t>
  </si>
  <si>
    <t>Databas</t>
  </si>
  <si>
    <t>Systemadministratör</t>
  </si>
  <si>
    <t>Fakturasystem</t>
  </si>
  <si>
    <t>Kundhantering</t>
  </si>
  <si>
    <t>Kontorsenhet</t>
  </si>
  <si>
    <t>Molntjänst</t>
  </si>
  <si>
    <t>Extern enhet</t>
  </si>
  <si>
    <t>Confidentiality</t>
  </si>
  <si>
    <t>Availability</t>
  </si>
  <si>
    <t>Integrity</t>
  </si>
  <si>
    <t>Kan läsa, kopiera eller exponera känsliga kunduppgifter.</t>
  </si>
  <si>
    <t>Ett tekniskt fel gör att databasen blir otillgänglig.</t>
  </si>
  <si>
    <t>Arbete beroende av kunduppgifter kan inte utföras under avbrottet.</t>
  </si>
  <si>
    <t xml:space="preserve">Felet skulle till exempel kunna bero på en bugg. </t>
  </si>
  <si>
    <t xml:space="preserve">En felaktig ändring görs av misstag i systemet eller informationen. </t>
  </si>
  <si>
    <t xml:space="preserve">Systemfunktioner verksamheten är beroende av kan påverkas och information som är viktig kan bli felaktig. </t>
  </si>
  <si>
    <t xml:space="preserve">Tillgång till system och information administratören har behörighet till och kan därmed ändra, kopiera, exponera information samt skada system. </t>
  </si>
  <si>
    <t xml:space="preserve">Skadlig kod påverkar fakturasystemet. </t>
  </si>
  <si>
    <t xml:space="preserve">En behörig användare öppnar en skadlig länk eller en bilaga i ett e-postmeddelande. </t>
  </si>
  <si>
    <t xml:space="preserve">Systemet otillgängliggörs eller kan inte användas som avsett. </t>
  </si>
  <si>
    <t>En behörig användare utsätts för riktat nätfiske där angriparen kommer över inloggningsuppgifterna.</t>
  </si>
  <si>
    <t xml:space="preserve">Felaktiga kunduppgifter kan påverka verksamheten och kunderna. </t>
  </si>
  <si>
    <t>Överbelastning i kundhanteringssystemet.</t>
  </si>
  <si>
    <t>Kundhanteringen utsätts för hög belastning av en angripare.</t>
  </si>
  <si>
    <t xml:space="preserve">Resurserna i systemet räcker inte till för normal användning och kan göra systemet otillgängligt eller långsamt för behöriga användare. </t>
  </si>
  <si>
    <t>Systemfel i kundhanteringssystemet.</t>
  </si>
  <si>
    <t>Ett tekniskt fel i systemet.</t>
  </si>
  <si>
    <t>Systemet blir otillgängligt för behöriga användare och skapar avbrott i verksamheten.</t>
  </si>
  <si>
    <t>Behörig användare får obehörig tillgång.</t>
  </si>
  <si>
    <t xml:space="preserve">Den obehöriga användaren får tillgång till konfidentiell information som kan vara av känslig karaktär. </t>
  </si>
  <si>
    <t xml:space="preserve">Kontrollförlust över vem som har åtkomst till molntjänsten och obehöriga kan få tillgång till funktioner eller information avsett för behöriga användare. </t>
  </si>
  <si>
    <t xml:space="preserve">Angriparen kan få obehörig åtkomst till flera delar av IT-miljön och informationen som finns där. </t>
  </si>
  <si>
    <t xml:space="preserve">En obehörig aktör kommer över en behörig användares autentiseringsuppgifter. </t>
  </si>
  <si>
    <t>Obehörig aktör imiterar den behöriga användaren för åtkomst till molntjänsten som behörig.</t>
  </si>
  <si>
    <t>Mycket stor ekonomisk förlust. Påverkar allvarligt företagets förmåga att fortsätta sin ordinarie verksamhet.</t>
  </si>
  <si>
    <t>En större förlust som tydligt påverkar verksamheten.</t>
  </si>
  <si>
    <t>En stor och långvarig förtroendeskada som påverkar relationen till kunder och andra berörda allvarligt.</t>
  </si>
  <si>
    <t>En tydlig förtroendeskada som påverkar företagets berörda relationer.</t>
  </si>
  <si>
    <t>Begränsad förtroendeskada som påverkar enstaka kunder.</t>
  </si>
  <si>
    <t xml:space="preserve">Ingen påverkan eller en mycket liten påverkan på förtroendet. </t>
  </si>
  <si>
    <t>Ett längre avbrott med tydlig påverkan på verksamheten.</t>
  </si>
  <si>
    <t>Ett kortare avbrott påverkar arbetet men verksamheten kan delvis fortsätta.</t>
  </si>
  <si>
    <t>En kortvarig störning och liten påverkan på verksamheten.</t>
  </si>
  <si>
    <t>Allvarlig bristande efterlevnad  av bindande eller rättsliga krav. Stora konsekvenser för verksamheten.</t>
  </si>
  <si>
    <t>Mindre avvikelse. Ingen eller liten påverkan på verksamheten.</t>
  </si>
  <si>
    <t>1-10 ggr/år</t>
  </si>
  <si>
    <t>0,05-0,5 ggr/år</t>
  </si>
  <si>
    <t>0,5-1 gång/år</t>
  </si>
  <si>
    <t>&lt; 0,05 ggr/år</t>
  </si>
  <si>
    <t>En ekonomisk förlust som är begränsad som verksamheten kan hantera.</t>
  </si>
  <si>
    <t>Jag bedömer sannolikheten som hög sett till riskfaktorn gällande systemfel som buggar eller hårdvarufel (ENISA, 2021:11). Måttlig konsekvens då felet inte bedöms ge upphov till stora avbrott. Systemfelet kan dock påverka arbetet i kundhanteringen och göra den otillgänglig.</t>
  </si>
  <si>
    <t>Jag bedömer sannolikheten som mycket hög utifrån att systemfel är en återkommande orsak till incidenter (ENISA, 2021:12). Bedömningen för konsekvensen är måttlig då avbrottet påverkar arbetet men stoppar inte hela verksamheten.</t>
  </si>
  <si>
    <t>Bedömer sannolikheten som hög på grund av att riktat nätfiske beskrivs som en framgångsrik angreppsmetod i syfte att kunna lura mottagaren att lämna ifrån sig lösenord. Konsekvensen kan bli allvarlig. Angriparen kan få obehörig åtkomst och ändra kunduppgifter (Cybersäkerhet i Sverige - Hot, metoder, brister och beroenden, 2020:15).</t>
  </si>
  <si>
    <t>Jag bedömer sannolikheten som hög utifrån orsak: mänsklig faktor. Konsekvensen som måttlig då detta scenario gäller oavsiktlig åtkomst till kunduppgifter internt. Konsekvensen hade däremot kunnat bli allvarligare om användaren haft högre behörigheter (Cybersäkerhet i Sverige - Rekommenderade säkerhetsåtgärder, 2020:14).</t>
  </si>
  <si>
    <t>Referenser</t>
  </si>
  <si>
    <r>
      <rPr>
        <i/>
        <sz val="12"/>
        <color theme="1"/>
        <rFont val="Calibri"/>
        <family val="2"/>
        <scheme val="minor"/>
      </rPr>
      <t xml:space="preserve">Cybersäkerhet i Sverige 2020: hot, metoder, brister och beroenden </t>
    </r>
    <r>
      <rPr>
        <sz val="12"/>
        <color theme="1"/>
        <rFont val="Calibri"/>
        <family val="2"/>
        <scheme val="minor"/>
      </rPr>
      <t>(2020).</t>
    </r>
  </si>
  <si>
    <r>
      <rPr>
        <i/>
        <sz val="12"/>
        <color theme="1"/>
        <rFont val="Calibri"/>
        <family val="2"/>
        <scheme val="minor"/>
      </rPr>
      <t>Cybersäkerhet i Sverige 2020: rekommenderade säkerhetsåtgärder</t>
    </r>
    <r>
      <rPr>
        <sz val="12"/>
        <color theme="1"/>
        <rFont val="Calibri"/>
        <family val="2"/>
        <scheme val="minor"/>
      </rPr>
      <t xml:space="preserve"> (2020). </t>
    </r>
  </si>
  <si>
    <r>
      <t xml:space="preserve">European Union Agency for Cybersecurity (ENISA) (2021). </t>
    </r>
    <r>
      <rPr>
        <i/>
        <sz val="12"/>
        <color theme="1"/>
        <rFont val="Calibri"/>
        <family val="2"/>
        <scheme val="minor"/>
      </rPr>
      <t>Trust Services Security Incidents</t>
    </r>
  </si>
  <si>
    <r>
      <rPr>
        <i/>
        <sz val="12"/>
        <color theme="1"/>
        <rFont val="Calibri"/>
        <family val="2"/>
        <scheme val="minor"/>
      </rPr>
      <t>2020: Annual Report.</t>
    </r>
    <r>
      <rPr>
        <sz val="12"/>
        <color theme="1"/>
        <rFont val="Calibri"/>
        <family val="2"/>
        <scheme val="minor"/>
      </rPr>
      <t xml:space="preserve"> ENISA</t>
    </r>
  </si>
  <si>
    <r>
      <t xml:space="preserve">Ross, R. (2012). </t>
    </r>
    <r>
      <rPr>
        <i/>
        <sz val="12"/>
        <color theme="1"/>
        <rFont val="Calibri"/>
        <family val="2"/>
        <scheme val="minor"/>
      </rPr>
      <t xml:space="preserve">Guide for Conducting Risk Assessments. </t>
    </r>
    <r>
      <rPr>
        <sz val="12"/>
        <color theme="1"/>
        <rFont val="Calibri"/>
        <family val="2"/>
        <scheme val="minor"/>
      </rPr>
      <t>NIST Special Publication 800-30,</t>
    </r>
  </si>
  <si>
    <t xml:space="preserve">Revision 1. Gaithersburg, MD: National Institute of Standards and Technology. </t>
  </si>
  <si>
    <t>En angripare kapar ett administratörskonto och får åtkomst till databasen.</t>
  </si>
  <si>
    <t>Obehörig autentisering.</t>
  </si>
  <si>
    <t>Att ett administratörskonto kapas bedömer jag som en realistisk risk. Konsekvensen bedöms som allvarlig då känsliga uppgifter kan ändras eller exponeras (Cybersäkerhet i Sverige - Rekommenderade säkerhetsåtgärder, 2020:11, 14).</t>
  </si>
  <si>
    <t>Systemadministratörens omfattande behörigheter möjliggör ändringar som inte var avsedda.</t>
  </si>
  <si>
    <t xml:space="preserve">Jag bedömer sannolikheten som hög. Systemadministrativa behörigheter kan bidra till att inställningar ändras av misstag eller information raderas och kan få allvarliga konsekvenser (Cybersäkerhet i Sverige - Rekommenderade säkerhetsåtgärder, 2020:14). Därför bedömer jag konsekvensen som allvarlig. </t>
  </si>
  <si>
    <t>En angripare får tillgång till systemadministratörens konto genom inloggningsuppgifterna.</t>
  </si>
  <si>
    <t>Här bedömer jag sannolikheten som hög då användare kan utsättas för skadlig kod genom att öppna länkar eller bilagor. Betydande konsekvens där ett påverkat fakturasystem kan orsaka ett längre avbrott samt tydligt påverka verksamheten (Cybersäkerhet i Sverige - Rekommenderade säkerhetsåtgärder, 2020:22).</t>
  </si>
  <si>
    <t>En behörig användare till kontorsenheten får av misstag obehörig tillgång till kunduppgifterna.</t>
  </si>
  <si>
    <t>Jag bedömer sannolikheten som medelhög då obehöriga kan komma åt autentiseringsuppgifterna. Allvarlig konsekvens sett till administratörens omfattande behörigheter som kan ge angriparen åtkomst till information och system (Cybersäkerhet i Sverige - Rekommenderade säkerhetsåtgärder, 2020: 11, 14).</t>
  </si>
  <si>
    <t xml:space="preserve">*Notering: Sannolikhets- och konsekvensnivåerna är bedömningar jag gjort utifrån informationen i systemmodellen och uppgiftsbeskrivningen. Bedömningarna är gjorda utan närmare information om teknisk miljö, befintliga säkerhetsåtgärder eller tidigare incidenter. Jag har försökt undvika att göra antaganden men har förhållit mig till informationen som funnits tillgänglig och använt källor som stöd för riskernas möjliga konsekvenser och relevans. </t>
  </si>
  <si>
    <t>Jag bedömer sannolikheten som medelhög. Autentiseringsuppgifter kan utnyttjas för obehörig åtkomst. Konsekvensen bedömer jag som allvarlig. En obehörig kan få tillgång till funktioner i molntjänsten samt information (Cybersäkerhet i Sverige - Rekommenderade säkerhetsåtgärder, 2020:12).</t>
  </si>
  <si>
    <t>En angripare använder en extern komprometterad enhet för att förflytta sig till andra delar av IT-miljön.</t>
  </si>
  <si>
    <t xml:space="preserve">Den externa enheten komprometteras av en angripare. </t>
  </si>
  <si>
    <t xml:space="preserve">Flera verksamhetskritiska funktioner påverkas i ett långvarigt avbrott. </t>
  </si>
  <si>
    <t>Betydande bristande efterlevnad av bindande eller rättsliga krav. Tydlig påverkan på verksamheten.</t>
  </si>
  <si>
    <t>Begränsad bristande efterlevnad av bindande eller rättsliga krav. Begränsad påverkan på verksamheten.</t>
  </si>
  <si>
    <t>Mycket liten eller ingen förlust. Påverkar verksamheten i liten utsträckning.</t>
  </si>
  <si>
    <t>Jag bedömer sannolikheten som medelhög. Denial of Service (DoS)-angrepp kan användas som ett sätt att göra kundhanteringen otillgänglig eller hindra den från att fungera fullt effektivt. Konsekvens måttlig eftersom kundhanteringen ändå kan fortsätta även om hanteringen kan bli långsam eller delvis otillgänglig (NIST, 2012:E-4).</t>
  </si>
  <si>
    <t>En angripare får obehörig åtkomst till kundhanteringssystemet och ändrar uppgifter.</t>
  </si>
  <si>
    <t>Jag bedömer sannolikheten som medelhög då scenariot innebär att den externa enheten komprometteras och därefter lyckas angriparen ta sig in till flera olika delar i IT-miljön. Konsekvensen bedömer jag som allvarlig. En sådan åtkomst kan innebära att flera delar av IT-miljön och informationen som finns där exponeras (Cybersäkerhet i Sverige - Rekommenderade säkerhetsåtgärder, 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</si>
</sst>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00"/>
  </numFmts>
  <fonts count="14">
    <font>
      <sz val="12"/>
      <color theme="1"/>
      <name val="Calibri"/>
      <family val="2"/>
      <scheme val="minor"/>
    </font>
    <font>
      <sz val="14"/>
      <color theme="1"/>
      <name val="Calibri"/>
      <family val="2"/>
      <scheme val="minor"/>
    </font>
    <font>
      <b/>
      <sz val="14"/>
      <color theme="1"/>
      <name val="Calibri"/>
      <family val="2"/>
      <scheme val="minor"/>
    </font>
    <font>
      <u/>
      <sz val="12"/>
      <color theme="10"/>
      <name val="Calibri"/>
      <family val="2"/>
      <scheme val="minor"/>
    </font>
    <font>
      <u/>
      <sz val="12"/>
      <color theme="11"/>
      <name val="Calibri"/>
      <family val="2"/>
      <scheme val="minor"/>
    </font>
    <font>
      <sz val="16"/>
      <color theme="1"/>
      <name val="Calibri"/>
      <family val="2"/>
      <scheme val="minor"/>
    </font>
    <font>
      <sz val="12"/>
      <color theme="0"/>
      <name val="Calibri"/>
      <family val="2"/>
      <scheme val="minor"/>
    </font>
    <font>
      <sz val="26"/>
      <color theme="1"/>
      <name val="Calibri"/>
      <family val="2"/>
      <scheme val="minor"/>
    </font>
    <font>
      <i/>
      <sz val="10"/>
      <color theme="1"/>
      <name val="Calibri (Brödtext)"/>
    </font>
    <font>
      <sz val="14"/>
      <color theme="1"/>
      <name val="Calibri"/>
      <family val="2"/>
    </font>
    <font>
      <i/>
      <sz val="10"/>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s>
  <fills count="13">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C0000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79998168889431442"/>
        <bgColor indexed="65"/>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theme="0"/>
      </left>
      <right/>
      <top/>
      <bottom style="medium">
        <color theme="0"/>
      </bottom>
      <diagonal/>
    </border>
    <border>
      <left/>
      <right style="medium">
        <color theme="0"/>
      </right>
      <top/>
      <bottom style="medium">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11" fillId="12" borderId="0" applyNumberFormat="0" applyBorder="0" applyAlignment="0" applyProtection="0"/>
  </cellStyleXfs>
  <cellXfs count="50">
    <xf numFmtId="0" fontId="0" fillId="0" borderId="0" xfId="0"/>
    <xf numFmtId="0" fontId="1" fillId="0" borderId="0" xfId="0" applyFont="1"/>
    <xf numFmtId="0" fontId="2" fillId="0" borderId="0" xfId="0" applyFont="1"/>
    <xf numFmtId="14" fontId="1" fillId="0" borderId="0" xfId="0" applyNumberFormat="1" applyFont="1"/>
    <xf numFmtId="49" fontId="1" fillId="0" borderId="0" xfId="0" applyNumberFormat="1" applyFont="1" applyAlignment="1">
      <alignment horizontal="left" vertical="top" wrapText="1"/>
    </xf>
    <xf numFmtId="0" fontId="1" fillId="0" borderId="0" xfId="0" applyFont="1" applyAlignment="1">
      <alignment horizontal="left" vertical="top"/>
    </xf>
    <xf numFmtId="49" fontId="5" fillId="0" borderId="0" xfId="0" applyNumberFormat="1" applyFont="1" applyAlignment="1">
      <alignment horizontal="left" vertical="top" wrapText="1"/>
    </xf>
    <xf numFmtId="49" fontId="7" fillId="0" borderId="0" xfId="0" applyNumberFormat="1" applyFont="1" applyAlignment="1">
      <alignment horizontal="left" vertical="top"/>
    </xf>
    <xf numFmtId="0" fontId="0" fillId="3" borderId="1" xfId="0" applyFill="1" applyBorder="1"/>
    <xf numFmtId="0" fontId="0" fillId="2" borderId="1" xfId="0" applyFill="1" applyBorder="1"/>
    <xf numFmtId="0" fontId="0" fillId="4" borderId="1" xfId="0" applyFill="1" applyBorder="1"/>
    <xf numFmtId="0" fontId="0" fillId="6" borderId="1" xfId="0" applyFill="1" applyBorder="1"/>
    <xf numFmtId="0" fontId="6" fillId="9" borderId="1" xfId="0" applyFont="1" applyFill="1" applyBorder="1"/>
    <xf numFmtId="0" fontId="6" fillId="7" borderId="1" xfId="0" applyFont="1" applyFill="1" applyBorder="1"/>
    <xf numFmtId="0" fontId="6" fillId="5" borderId="1" xfId="0" applyFont="1" applyFill="1" applyBorder="1"/>
    <xf numFmtId="0" fontId="6" fillId="9" borderId="0" xfId="0" applyFont="1" applyFill="1" applyAlignment="1">
      <alignment horizontal="center"/>
    </xf>
    <xf numFmtId="0" fontId="6" fillId="7" borderId="0" xfId="0" applyFont="1" applyFill="1" applyAlignment="1">
      <alignment horizontal="center"/>
    </xf>
    <xf numFmtId="0" fontId="6" fillId="5" borderId="0" xfId="0" applyFont="1" applyFill="1" applyAlignment="1">
      <alignment horizontal="center"/>
    </xf>
    <xf numFmtId="0" fontId="0" fillId="8"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49" fontId="1" fillId="10" borderId="0" xfId="0" applyNumberFormat="1" applyFont="1" applyFill="1" applyAlignment="1">
      <alignment horizontal="left" vertical="top" wrapText="1"/>
    </xf>
    <xf numFmtId="49" fontId="1" fillId="10" borderId="0" xfId="0" applyNumberFormat="1" applyFont="1" applyFill="1" applyAlignment="1">
      <alignment horizontal="left" vertical="top"/>
    </xf>
    <xf numFmtId="49" fontId="1" fillId="11" borderId="0" xfId="0" applyNumberFormat="1" applyFont="1" applyFill="1" applyAlignment="1">
      <alignment horizontal="left" vertical="top" wrapText="1"/>
    </xf>
    <xf numFmtId="0" fontId="1" fillId="11" borderId="0" xfId="0" applyFont="1" applyFill="1" applyAlignment="1">
      <alignment horizontal="left" vertical="top" wrapText="1"/>
    </xf>
    <xf numFmtId="1" fontId="1" fillId="11" borderId="0" xfId="0" applyNumberFormat="1" applyFont="1" applyFill="1" applyAlignment="1">
      <alignment horizontal="center" vertical="top" wrapText="1"/>
    </xf>
    <xf numFmtId="0" fontId="6" fillId="0" borderId="0" xfId="0" applyFont="1" applyAlignment="1">
      <alignment horizontal="center"/>
    </xf>
    <xf numFmtId="0" fontId="0" fillId="0" borderId="0" xfId="0" applyAlignment="1">
      <alignment horizontal="center"/>
    </xf>
    <xf numFmtId="0" fontId="7" fillId="0" borderId="0" xfId="0" applyFont="1"/>
    <xf numFmtId="0" fontId="0" fillId="8" borderId="0" xfId="0" applyFill="1"/>
    <xf numFmtId="0" fontId="0" fillId="2" borderId="0" xfId="0" applyFill="1"/>
    <xf numFmtId="0" fontId="0" fillId="3" borderId="0" xfId="0" applyFill="1"/>
    <xf numFmtId="0" fontId="0" fillId="4" borderId="0" xfId="0" applyFill="1"/>
    <xf numFmtId="0" fontId="9" fillId="0" borderId="0" xfId="0" applyFont="1"/>
    <xf numFmtId="164" fontId="1" fillId="11" borderId="0" xfId="0" applyNumberFormat="1" applyFont="1" applyFill="1" applyAlignment="1">
      <alignment horizontal="left" vertical="top" wrapText="1"/>
    </xf>
    <xf numFmtId="0" fontId="1" fillId="11" borderId="0" xfId="0" applyFont="1" applyFill="1" applyAlignment="1" applyProtection="1">
      <alignment horizontal="left" vertical="top" wrapText="1"/>
      <protection locked="0"/>
    </xf>
    <xf numFmtId="49" fontId="1" fillId="10" borderId="2" xfId="0" applyNumberFormat="1" applyFont="1" applyFill="1" applyBorder="1" applyAlignment="1">
      <alignment horizontal="left" vertical="top" wrapText="1"/>
    </xf>
    <xf numFmtId="49" fontId="1" fillId="10" borderId="3" xfId="0" applyNumberFormat="1" applyFont="1" applyFill="1" applyBorder="1" applyAlignment="1">
      <alignment horizontal="left" vertical="top" wrapText="1"/>
    </xf>
    <xf numFmtId="1" fontId="2" fillId="11" borderId="0" xfId="0" applyNumberFormat="1" applyFont="1" applyFill="1" applyAlignment="1">
      <alignment horizontal="center" vertical="top"/>
    </xf>
    <xf numFmtId="1" fontId="11" fillId="12" borderId="0" xfId="3" applyNumberFormat="1" applyAlignment="1">
      <alignment horizontal="center" vertical="top" wrapText="1"/>
    </xf>
    <xf numFmtId="0" fontId="11" fillId="12" borderId="0" xfId="3" applyNumberFormat="1" applyAlignment="1" applyProtection="1">
      <alignment horizontal="left" vertical="top" wrapText="1"/>
    </xf>
    <xf numFmtId="0" fontId="12" fillId="0" borderId="0" xfId="0" applyFont="1"/>
    <xf numFmtId="0" fontId="10" fillId="0" borderId="0" xfId="0" applyFont="1"/>
    <xf numFmtId="49" fontId="2" fillId="0" borderId="4" xfId="0" applyNumberFormat="1" applyFont="1" applyBorder="1" applyAlignment="1">
      <alignment horizontal="center" vertical="top" wrapText="1"/>
    </xf>
    <xf numFmtId="49" fontId="2" fillId="0" borderId="5" xfId="0" applyNumberFormat="1" applyFont="1" applyBorder="1" applyAlignment="1">
      <alignment horizontal="center" vertical="top" wrapText="1"/>
    </xf>
    <xf numFmtId="49" fontId="1" fillId="0" borderId="0" xfId="0" applyNumberFormat="1" applyFont="1" applyAlignment="1">
      <alignment horizontal="left" vertical="top" wrapText="1"/>
    </xf>
    <xf numFmtId="0" fontId="10" fillId="0" borderId="0" xfId="0" applyFont="1" applyAlignment="1">
      <alignment horizontal="left"/>
    </xf>
    <xf numFmtId="0" fontId="8" fillId="0" borderId="0" xfId="0" applyFont="1" applyAlignment="1">
      <alignment horizontal="left" wrapText="1"/>
    </xf>
    <xf numFmtId="0" fontId="1" fillId="0" borderId="0" xfId="0" applyFont="1" applyAlignment="1">
      <alignment horizontal="left" wrapText="1"/>
    </xf>
  </cellXfs>
  <cellStyles count="4">
    <cellStyle name="20 % - Dekorfärg1" xfId="3" builtinId="30"/>
    <cellStyle name="Följd hyperlänk" xfId="2" builtinId="9" hidden="1"/>
    <cellStyle name="Hyperlänk" xfId="1" builtinId="8" hidden="1"/>
    <cellStyle name="Normal" xfId="0" builtinId="0"/>
  </cellStyles>
  <dxfs count="56">
    <dxf>
      <font>
        <b val="0"/>
        <i val="0"/>
      </font>
      <fill>
        <patternFill>
          <bgColor theme="9" tint="0.59996337778862885"/>
        </patternFill>
      </fill>
    </dxf>
    <dxf>
      <font>
        <b val="0"/>
        <i val="0"/>
      </font>
      <fill>
        <patternFill>
          <bgColor theme="9" tint="0.59996337778862885"/>
        </patternFill>
      </fill>
    </dxf>
    <dxf>
      <font>
        <b val="0"/>
        <i val="0"/>
      </font>
      <fill>
        <patternFill>
          <bgColor theme="9"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FFC000"/>
        </patternFill>
      </fill>
    </dxf>
    <dxf>
      <font>
        <color theme="0"/>
      </font>
      <fill>
        <patternFill>
          <fgColor theme="0"/>
          <bgColor theme="5"/>
        </patternFill>
      </fill>
    </dxf>
    <dxf>
      <font>
        <color theme="0"/>
      </font>
      <fill>
        <patternFill>
          <bgColor rgb="FFFF0000"/>
        </patternFill>
      </fill>
    </dxf>
    <dxf>
      <font>
        <color theme="0"/>
      </font>
      <fill>
        <patternFill>
          <bgColor rgb="FFC00000"/>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ill>
        <patternFill>
          <bgColor theme="7" tint="0.39994506668294322"/>
        </patternFill>
      </fill>
    </dxf>
    <dxf>
      <fill>
        <patternFill>
          <bgColor theme="7" tint="0.59996337778862885"/>
        </patternFill>
      </fill>
    </dxf>
    <dxf>
      <fill>
        <patternFill>
          <bgColor theme="7" tint="0.79998168889431442"/>
        </patternFill>
      </fill>
    </dxf>
    <dxf>
      <fill>
        <patternFill>
          <bgColor theme="7"/>
        </patternFill>
      </fill>
    </dxf>
    <dxf>
      <fill>
        <patternFill>
          <bgColor theme="7"/>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i val="0"/>
        <strike val="0"/>
        <condense val="0"/>
        <extend val="0"/>
        <outline val="0"/>
        <shadow val="0"/>
        <u val="none"/>
        <vertAlign val="baseline"/>
        <sz val="12"/>
        <color theme="1"/>
        <name val="Calibri"/>
        <family val="2"/>
        <scheme val="minor"/>
      </font>
    </dxf>
    <dxf>
      <font>
        <strike val="0"/>
        <outline val="0"/>
        <shadow val="0"/>
        <u val="none"/>
        <vertAlign val="baseline"/>
        <sz val="14"/>
        <color theme="1"/>
        <name val="Calibri"/>
        <scheme val="minor"/>
      </font>
      <numFmt numFmtId="30" formatCode="@"/>
      <fill>
        <patternFill patternType="solid">
          <fgColor indexed="64"/>
          <bgColor theme="4" tint="0.79998168889431442"/>
        </patternFill>
      </fill>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solid">
          <fgColor indexed="64"/>
          <bgColor theme="5"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1" formatCode="0"/>
      <fill>
        <patternFill patternType="solid">
          <fgColor indexed="64"/>
          <bgColor theme="4" tint="0.79998168889431442"/>
        </patternFill>
      </fill>
      <alignment horizontal="center" vertical="top"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solid">
          <fgColor indexed="64"/>
          <bgColor theme="5"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1" formatCode="0"/>
      <fill>
        <patternFill patternType="solid">
          <fgColor indexed="64"/>
          <bgColor theme="4" tint="0.79998168889431442"/>
        </patternFill>
      </fill>
      <alignment horizontal="center"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30" formatCode="@"/>
      <fill>
        <patternFill patternType="solid">
          <fgColor indexed="64"/>
          <bgColor theme="5"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30" formatCode="@"/>
      <fill>
        <patternFill patternType="solid">
          <fgColor indexed="64"/>
          <bgColor theme="5"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numFmt numFmtId="30" formatCode="@"/>
      <fill>
        <patternFill patternType="solid">
          <fgColor indexed="64"/>
          <bgColor theme="4"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numFmt numFmtId="30" formatCode="@"/>
      <fill>
        <patternFill patternType="solid">
          <fgColor indexed="64"/>
          <bgColor theme="4" tint="0.79998168889431442"/>
        </patternFill>
      </fill>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fill>
        <patternFill patternType="solid">
          <fgColor indexed="64"/>
          <bgColor theme="4"/>
        </patternFill>
      </fill>
      <alignment horizontal="left" vertical="top" textRotation="0" wrapText="0" indent="0" justifyLastLine="0" shrinkToFit="0" readingOrder="0"/>
    </dxf>
  </dxfs>
  <tableStyles count="1" defaultTableStyle="Tabellformat 1" defaultPivotStyle="PivotStyleMedium7">
    <tableStyle name="Tabellformat 1" pivot="0" count="0" xr9:uid="{00000000-0011-0000-FFFF-FFFF00000000}"/>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31750</xdr:colOff>
      <xdr:row>2</xdr:row>
      <xdr:rowOff>165099</xdr:rowOff>
    </xdr:from>
    <xdr:to>
      <xdr:col>14</xdr:col>
      <xdr:colOff>368300</xdr:colOff>
      <xdr:row>47</xdr:row>
      <xdr:rowOff>137583</xdr:rowOff>
    </xdr:to>
    <xdr:sp macro="" textlink="">
      <xdr:nvSpPr>
        <xdr:cNvPr id="2" name="textruta 1">
          <a:extLst>
            <a:ext uri="{FF2B5EF4-FFF2-40B4-BE49-F238E27FC236}">
              <a16:creationId xmlns:a16="http://schemas.microsoft.com/office/drawing/2014/main" id="{00000000-0008-0000-0000-000002000000}"/>
            </a:ext>
          </a:extLst>
        </xdr:cNvPr>
        <xdr:cNvSpPr txBox="1"/>
      </xdr:nvSpPr>
      <xdr:spPr>
        <a:xfrm>
          <a:off x="1386417" y="567266"/>
          <a:ext cx="8464550" cy="902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800">
              <a:solidFill>
                <a:schemeClr val="dk1"/>
              </a:solidFill>
              <a:effectLst/>
              <a:latin typeface="+mn-lt"/>
              <a:ea typeface="+mn-ea"/>
              <a:cs typeface="+mn-cs"/>
            </a:rPr>
            <a:t>Manual Verktyget</a:t>
          </a:r>
          <a:r>
            <a:rPr lang="sv-SE" sz="1800" baseline="0">
              <a:solidFill>
                <a:schemeClr val="dk1"/>
              </a:solidFill>
              <a:effectLst/>
              <a:latin typeface="+mn-lt"/>
              <a:ea typeface="+mn-ea"/>
              <a:cs typeface="+mn-cs"/>
            </a:rPr>
            <a:t> Risk</a:t>
          </a:r>
          <a:endParaRPr lang="sv-SE" sz="1800">
            <a:solidFill>
              <a:schemeClr val="dk1"/>
            </a:solidFill>
            <a:effectLst/>
            <a:latin typeface="+mn-lt"/>
            <a:ea typeface="+mn-ea"/>
            <a:cs typeface="+mn-cs"/>
          </a:endParaRPr>
        </a:p>
        <a:p>
          <a:endParaRPr lang="sv-SE" sz="1400">
            <a:solidFill>
              <a:schemeClr val="dk1"/>
            </a:solidFill>
            <a:effectLst/>
            <a:latin typeface="+mn-lt"/>
            <a:ea typeface="+mn-ea"/>
            <a:cs typeface="+mn-cs"/>
          </a:endParaRPr>
        </a:p>
        <a:p>
          <a:r>
            <a:rPr lang="sv-SE" sz="1200">
              <a:solidFill>
                <a:schemeClr val="dk1"/>
              </a:solidFill>
              <a:effectLst/>
              <a:latin typeface="+mn-lt"/>
              <a:ea typeface="+mn-ea"/>
              <a:cs typeface="+mn-cs"/>
            </a:rPr>
            <a:t>Detta verktyg är</a:t>
          </a:r>
          <a:r>
            <a:rPr lang="sv-SE" sz="1200" baseline="0">
              <a:solidFill>
                <a:schemeClr val="dk1"/>
              </a:solidFill>
              <a:effectLst/>
              <a:latin typeface="+mn-lt"/>
              <a:ea typeface="+mn-ea"/>
              <a:cs typeface="+mn-cs"/>
            </a:rPr>
            <a:t> en anpassning av det riskhanteringsverktyg som tillhandahålls av sajten informationssakerhet.se. Filen används i kursen ETE352 Cybersäkerhet - grunder och medvetenhet som ges vid Linköpings universitet. Anpassningarna har gjorts för att passa kursen och att tydliggöra kopplingen till tillgångar och hotmodelleringen. Den är också något förenklad genom att kategorin riskägare är borttagen eftersom detta är organisationsspecifikt. Om en verklig riskanalys ska göras så bör det ursprungliga verktyget användas anpassas, denna fil är primärt avsedd för undervisning.</a:t>
          </a:r>
        </a:p>
        <a:p>
          <a:endParaRPr lang="sv-SE"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dk1"/>
              </a:solidFill>
              <a:effectLst/>
              <a:latin typeface="+mn-lt"/>
              <a:ea typeface="+mn-ea"/>
              <a:cs typeface="+mn-cs"/>
            </a:rPr>
            <a:t>1. Fyll i studentdata</a:t>
          </a:r>
          <a:endParaRPr lang="sv-SE" sz="1200" baseline="0">
            <a:solidFill>
              <a:schemeClr val="dk1"/>
            </a:solidFill>
            <a:effectLst/>
            <a:latin typeface="+mn-lt"/>
            <a:ea typeface="+mn-ea"/>
            <a:cs typeface="+mn-cs"/>
          </a:endParaRPr>
        </a:p>
        <a:p>
          <a:r>
            <a:rPr lang="sv-SE" sz="1200">
              <a:solidFill>
                <a:schemeClr val="dk1"/>
              </a:solidFill>
              <a:effectLst/>
              <a:latin typeface="+mn-lt"/>
              <a:ea typeface="+mn-ea"/>
              <a:cs typeface="+mn-cs"/>
            </a:rPr>
            <a:t>Skriv</a:t>
          </a:r>
          <a:r>
            <a:rPr lang="sv-SE" sz="1200" baseline="0">
              <a:solidFill>
                <a:schemeClr val="dk1"/>
              </a:solidFill>
              <a:effectLst/>
              <a:latin typeface="+mn-lt"/>
              <a:ea typeface="+mn-ea"/>
              <a:cs typeface="+mn-cs"/>
            </a:rPr>
            <a:t> ditt namn och LiU-ID i fliken "Studentdata" i respektive kolumn.</a:t>
          </a:r>
          <a:endParaRPr lang="sv-SE" sz="1200">
            <a:solidFill>
              <a:schemeClr val="dk1"/>
            </a:solidFill>
            <a:effectLst/>
            <a:latin typeface="+mn-lt"/>
            <a:ea typeface="+mn-ea"/>
            <a:cs typeface="+mn-cs"/>
          </a:endParaRPr>
        </a:p>
        <a:p>
          <a:endParaRPr lang="sv-SE" sz="1200">
            <a:solidFill>
              <a:schemeClr val="dk1"/>
            </a:solidFill>
            <a:effectLst/>
            <a:latin typeface="+mn-lt"/>
            <a:ea typeface="+mn-ea"/>
            <a:cs typeface="+mn-cs"/>
          </a:endParaRPr>
        </a:p>
        <a:p>
          <a:r>
            <a:rPr lang="sv-SE" sz="1200" b="1">
              <a:solidFill>
                <a:schemeClr val="dk1"/>
              </a:solidFill>
              <a:effectLst/>
              <a:latin typeface="+mn-lt"/>
              <a:ea typeface="+mn-ea"/>
              <a:cs typeface="+mn-cs"/>
            </a:rPr>
            <a:t>2.</a:t>
          </a:r>
          <a:r>
            <a:rPr lang="sv-SE" sz="1200" b="1" baseline="0">
              <a:solidFill>
                <a:schemeClr val="dk1"/>
              </a:solidFill>
              <a:effectLst/>
              <a:latin typeface="+mn-lt"/>
              <a:ea typeface="+mn-ea"/>
              <a:cs typeface="+mn-cs"/>
            </a:rPr>
            <a:t> Definiera risknivåer </a:t>
          </a:r>
        </a:p>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dk1"/>
              </a:solidFill>
              <a:effectLst/>
              <a:latin typeface="+mn-lt"/>
              <a:ea typeface="+mn-ea"/>
              <a:cs typeface="+mn-cs"/>
            </a:rPr>
            <a:t>Under fliken </a:t>
          </a:r>
          <a:r>
            <a:rPr lang="sv-SE" sz="1200" i="1">
              <a:solidFill>
                <a:schemeClr val="dk1"/>
              </a:solidFill>
              <a:effectLst/>
              <a:latin typeface="+mn-lt"/>
              <a:ea typeface="+mn-ea"/>
              <a:cs typeface="+mn-cs"/>
            </a:rPr>
            <a:t>Risknivåer</a:t>
          </a:r>
          <a:r>
            <a:rPr lang="sv-SE" sz="1200" baseline="0">
              <a:solidFill>
                <a:schemeClr val="dk1"/>
              </a:solidFill>
              <a:effectLst/>
              <a:latin typeface="+mn-lt"/>
              <a:ea typeface="+mn-ea"/>
              <a:cs typeface="+mn-cs"/>
            </a:rPr>
            <a:t> kan man fastställa vad de olika nivåerna av sannolikhet och konsekvens har för innebörd. För konsekvens finns kategorierna Ekonomisk förlust, Minskat förtroende, Avbrott i verksamheten, och Bristande regelefterlevnad.</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För sannolikhetsnivåerna bör man ange intervall för de fyra nivåerna. Exempelvis kan man med "Låg sannolikhet" ange färre än en incident på tio år.</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Risknivåerna bör definieras initialt, innan riskanalyser genomförs, eftersom d</a:t>
          </a:r>
          <a:r>
            <a:rPr lang="sv-SE" sz="1200">
              <a:solidFill>
                <a:schemeClr val="dk1"/>
              </a:solidFill>
              <a:effectLst/>
              <a:latin typeface="+mn-lt"/>
              <a:ea typeface="+mn-ea"/>
              <a:cs typeface="+mn-cs"/>
            </a:rPr>
            <a:t>et är viktigt</a:t>
          </a:r>
          <a:r>
            <a:rPr lang="sv-SE" sz="1200" baseline="0">
              <a:solidFill>
                <a:schemeClr val="dk1"/>
              </a:solidFill>
              <a:effectLst/>
              <a:latin typeface="+mn-lt"/>
              <a:ea typeface="+mn-ea"/>
              <a:cs typeface="+mn-cs"/>
            </a:rPr>
            <a:t> att organisationen har en gemensam uppfattning om vad som avses med exempelvis "Hög sannolikhet". </a:t>
          </a:r>
          <a:endParaRPr lang="sv-SE"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sv-SE"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dk1"/>
              </a:solidFill>
              <a:effectLst/>
              <a:latin typeface="+mn-lt"/>
              <a:ea typeface="+mn-ea"/>
              <a:cs typeface="+mn-cs"/>
            </a:rPr>
            <a:t>3. Beskriv</a:t>
          </a:r>
          <a:r>
            <a:rPr lang="sv-SE" sz="1200" b="1" baseline="0">
              <a:solidFill>
                <a:schemeClr val="dk1"/>
              </a:solidFill>
              <a:effectLst/>
              <a:latin typeface="+mn-lt"/>
              <a:ea typeface="+mn-ea"/>
              <a:cs typeface="+mn-cs"/>
            </a:rPr>
            <a:t> risker i fliken "Riskregister"</a:t>
          </a:r>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Kolumnerna Tillgång (B), Egenskap (C), Riskcenario (D), Orsaksbeskrivning (E), Konsekvensbeskrivning (F),  och Kommentar (L) fylls i med vanlig text.</a:t>
          </a:r>
        </a:p>
        <a:p>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För att ange nivåer av sannolikhet och konsekvens, gör så här:</a:t>
          </a:r>
        </a:p>
        <a:p>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Skriv manuellt in numeriska värden (1-4) i kolumnerna G och I. Då fylls de verbala beskrivningarna av sannolikhet (kolumn H) och konsekvens (kolumn J) samt risknivån (kolumn K) i automatiskt. Formateringarna (färgerna) ändras också automatiskt. </a:t>
          </a:r>
          <a:endParaRPr lang="sv-SE" sz="1200">
            <a:solidFill>
              <a:schemeClr val="dk1"/>
            </a:solidFill>
            <a:effectLst/>
            <a:latin typeface="+mn-lt"/>
            <a:ea typeface="+mn-ea"/>
            <a:cs typeface="+mn-cs"/>
          </a:endParaRPr>
        </a:p>
        <a:p>
          <a:endParaRPr lang="sv-SE" sz="1200">
            <a:solidFill>
              <a:schemeClr val="dk1"/>
            </a:solidFill>
            <a:effectLst/>
            <a:latin typeface="+mn-lt"/>
            <a:ea typeface="+mn-ea"/>
            <a:cs typeface="+mn-cs"/>
          </a:endParaRPr>
        </a:p>
        <a:p>
          <a:r>
            <a:rPr lang="sv-SE" sz="1200" b="1">
              <a:solidFill>
                <a:schemeClr val="dk1"/>
              </a:solidFill>
              <a:effectLst/>
              <a:latin typeface="+mn-lt"/>
              <a:ea typeface="+mn-ea"/>
              <a:cs typeface="+mn-cs"/>
            </a:rPr>
            <a:t>4.</a:t>
          </a:r>
          <a:r>
            <a:rPr lang="sv-SE" sz="1200" b="1" baseline="0">
              <a:solidFill>
                <a:schemeClr val="dk1"/>
              </a:solidFill>
              <a:effectLst/>
              <a:latin typeface="+mn-lt"/>
              <a:ea typeface="+mn-ea"/>
              <a:cs typeface="+mn-cs"/>
            </a:rPr>
            <a:t> M</a:t>
          </a:r>
          <a:r>
            <a:rPr lang="sv-SE" sz="1200" b="1">
              <a:solidFill>
                <a:schemeClr val="dk1"/>
              </a:solidFill>
              <a:effectLst/>
              <a:latin typeface="+mn-lt"/>
              <a:ea typeface="+mn-ea"/>
              <a:cs typeface="+mn-cs"/>
            </a:rPr>
            <a:t>odifiering av verktyget (behövs inte för kursen)</a:t>
          </a:r>
        </a:p>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dk1"/>
              </a:solidFill>
              <a:effectLst/>
              <a:latin typeface="+mn-lt"/>
              <a:ea typeface="+mn-ea"/>
              <a:cs typeface="+mn-cs"/>
            </a:rPr>
            <a:t>Visuellt</a:t>
          </a:r>
          <a:r>
            <a:rPr lang="sv-SE" sz="1200" baseline="0">
              <a:solidFill>
                <a:schemeClr val="dk1"/>
              </a:solidFill>
              <a:effectLst/>
              <a:latin typeface="+mn-lt"/>
              <a:ea typeface="+mn-ea"/>
              <a:cs typeface="+mn-cs"/>
            </a:rPr>
            <a:t> kan f</a:t>
          </a:r>
          <a:r>
            <a:rPr lang="sv-SE" sz="1200">
              <a:solidFill>
                <a:schemeClr val="dk1"/>
              </a:solidFill>
              <a:effectLst/>
              <a:latin typeface="+mn-lt"/>
              <a:ea typeface="+mn-ea"/>
              <a:cs typeface="+mn-cs"/>
            </a:rPr>
            <a:t>ärgskalorna i kolumnerna ändras för sannolikhet,</a:t>
          </a:r>
          <a:r>
            <a:rPr lang="sv-SE" sz="1200" baseline="0">
              <a:solidFill>
                <a:schemeClr val="dk1"/>
              </a:solidFill>
              <a:effectLst/>
              <a:latin typeface="+mn-lt"/>
              <a:ea typeface="+mn-ea"/>
              <a:cs typeface="+mn-cs"/>
            </a:rPr>
            <a:t> konsekvens och risknivå med "Villkorsstyrd formatering" upp i verktygsfältet.</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Risknivåerna 1-7 är en kvalitativ gradering av riskers storlek i enlighet med riskmatrisen under fliken Risknivåer. Om man vill hantera kvantitativa risker bör risknivåerna ändras så att nivåerna av sannolikhet och konsekvens multipliceras. Då behöver man ändra formeln i kolumn för risknivån i fliken Riskregister till E x G.</a:t>
          </a:r>
        </a:p>
        <a:p>
          <a:endParaRPr lang="sv-SE" sz="1200">
            <a:solidFill>
              <a:schemeClr val="dk1"/>
            </a:solidFill>
            <a:effectLst/>
            <a:latin typeface="+mn-lt"/>
            <a:ea typeface="+mn-ea"/>
            <a:cs typeface="+mn-cs"/>
          </a:endParaRPr>
        </a:p>
        <a:p>
          <a:r>
            <a:rPr lang="sv-SE" sz="1200">
              <a:solidFill>
                <a:schemeClr val="dk1"/>
              </a:solidFill>
              <a:effectLst/>
              <a:latin typeface="+mn-lt"/>
              <a:ea typeface="+mn-ea"/>
              <a:cs typeface="+mn-cs"/>
            </a:rPr>
            <a:t>Om man vill ändra antalet nivåer</a:t>
          </a:r>
          <a:r>
            <a:rPr lang="sv-SE" sz="1200" baseline="0">
              <a:solidFill>
                <a:schemeClr val="dk1"/>
              </a:solidFill>
              <a:effectLst/>
              <a:latin typeface="+mn-lt"/>
              <a:ea typeface="+mn-ea"/>
              <a:cs typeface="+mn-cs"/>
            </a:rPr>
            <a:t> av sannolikhet och/eller konsekvens så får man dels ändra i fliken Data samt i formlerna i kolumnerna F och H i fliken Riskregister. I fliken Risknivåer finns inga formler och ingen data hämtas därfrån, så det är bara att ändra text och layout efter behov.  </a:t>
          </a:r>
        </a:p>
        <a:p>
          <a:endParaRPr lang="sv-SE" sz="1400" baseline="0">
            <a:solidFill>
              <a:schemeClr val="dk1"/>
            </a:solidFill>
            <a:effectLst/>
            <a:latin typeface="+mn-lt"/>
            <a:ea typeface="+mn-ea"/>
            <a:cs typeface="+mn-cs"/>
          </a:endParaRPr>
        </a:p>
        <a:p>
          <a:endParaRPr lang="sv-SE" sz="1400" b="1">
            <a:solidFill>
              <a:schemeClr val="dk1"/>
            </a:solidFill>
            <a:effectLst/>
            <a:latin typeface="+mn-lt"/>
            <a:ea typeface="+mn-ea"/>
            <a:cs typeface="+mn-cs"/>
          </a:endParaRPr>
        </a:p>
        <a:p>
          <a:pPr algn="l"/>
          <a:endParaRPr lang="sv-SE" sz="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B04DB1-59B6-5E40-9F06-8BC825D96F6F}" name="Tabell3" displayName="Tabell3" ref="B2:C3" totalsRowShown="0" headerRowDxfId="41">
  <autoFilter ref="B2:C3" xr:uid="{A4B04DB1-59B6-5E40-9F06-8BC825D96F6F}"/>
  <tableColumns count="2">
    <tableColumn id="1" xr3:uid="{380BF65F-19AC-D949-80E7-99BE5AC1B953}" name="Namn"/>
    <tableColumn id="2" xr3:uid="{6B75B654-75F8-BA43-8125-B91B350BE214}" name="LiU-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1" displayName="Tabell1" ref="A5:L54" insertRowShift="1" totalsRowShown="0" headerRowDxfId="55" dataDxfId="54">
  <autoFilter ref="A5:L54" xr:uid="{00000000-0009-0000-0100-000001000000}"/>
  <tableColumns count="12">
    <tableColumn id="1" xr3:uid="{00000000-0010-0000-0000-000001000000}" name="ID" dataDxfId="53"/>
    <tableColumn id="7" xr3:uid="{861B49B3-569A-2D44-8B81-5D8CC13BB40E}" name="Tillgång" dataDxfId="52"/>
    <tableColumn id="8" xr3:uid="{BEDE88F0-F370-AC45-99E7-6441176CB5A3}" name="Egenskap (CIA/STRIDE)" dataDxfId="51"/>
    <tableColumn id="4" xr3:uid="{00000000-0010-0000-0000-000004000000}" name="Riskscenario" dataDxfId="50"/>
    <tableColumn id="3" xr3:uid="{00000000-0010-0000-0000-000003000000}" name="Orsaksbeskrivning" dataDxfId="49"/>
    <tableColumn id="2" xr3:uid="{00000000-0010-0000-0000-000002000000}" name="Konsekvensbeskrivning" dataDxfId="48"/>
    <tableColumn id="9" xr3:uid="{00000000-0010-0000-0000-000009000000}" name="Värde S 1-4" dataDxfId="47"/>
    <tableColumn id="12" xr3:uid="{00000000-0010-0000-0000-00000C000000}" name="Sannolikhetsnivå" dataDxfId="46"/>
    <tableColumn id="11" xr3:uid="{00000000-0010-0000-0000-00000B000000}" name="Värde K 1-4" dataDxfId="45"/>
    <tableColumn id="10" xr3:uid="{00000000-0010-0000-0000-00000A000000}" name="Konsekvensnivå" dataDxfId="44"/>
    <tableColumn id="5" xr3:uid="{00000000-0010-0000-0000-000005000000}" name="Risknivå" dataDxfId="43"/>
    <tableColumn id="14" xr3:uid="{00000000-0010-0000-0000-00000E000000}" name="Kommentar" dataDxfId="42"/>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134" zoomScaleNormal="134" workbookViewId="0">
      <selection activeCell="B3" sqref="B3"/>
    </sheetView>
  </sheetViews>
  <sheetFormatPr defaultColWidth="8.83203125" defaultRowHeight="15.5"/>
  <sheetData/>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ABB8-20CD-1140-A201-1103E9F41887}">
  <dimension ref="B2:C3"/>
  <sheetViews>
    <sheetView workbookViewId="0">
      <selection activeCell="C10" sqref="C10"/>
    </sheetView>
  </sheetViews>
  <sheetFormatPr defaultColWidth="10.6640625" defaultRowHeight="15.5"/>
  <cols>
    <col min="2" max="2" width="25.1640625" customWidth="1"/>
    <col min="3" max="3" width="25.83203125" customWidth="1"/>
  </cols>
  <sheetData>
    <row r="2" spans="2:3" ht="21" customHeight="1">
      <c r="B2" s="42" t="s">
        <v>82</v>
      </c>
      <c r="C2" s="42" t="s">
        <v>81</v>
      </c>
    </row>
    <row r="3" spans="2:3" ht="25" customHeight="1">
      <c r="B3" t="s">
        <v>84</v>
      </c>
      <c r="C3" t="s">
        <v>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1"/>
  <dimension ref="A2:N54"/>
  <sheetViews>
    <sheetView tabSelected="1" topLeftCell="J16" zoomScale="78" zoomScaleNormal="110" workbookViewId="0">
      <selection activeCell="L21" sqref="L21"/>
    </sheetView>
  </sheetViews>
  <sheetFormatPr defaultColWidth="10.83203125" defaultRowHeight="18.5"/>
  <cols>
    <col min="1" max="1" width="12.6640625" style="4" customWidth="1"/>
    <col min="2" max="2" width="20.75" style="4" customWidth="1"/>
    <col min="3" max="3" width="20" style="4" customWidth="1"/>
    <col min="4" max="4" width="24.83203125" style="4" customWidth="1"/>
    <col min="5" max="5" width="24" style="4" customWidth="1"/>
    <col min="6" max="6" width="28" style="4" customWidth="1"/>
    <col min="7" max="7" width="16.6640625" style="4" customWidth="1"/>
    <col min="8" max="8" width="21.1640625" style="4" customWidth="1"/>
    <col min="9" max="9" width="16.1640625" style="4" customWidth="1"/>
    <col min="10" max="10" width="20.1640625" style="4" customWidth="1"/>
    <col min="11" max="11" width="14.83203125" style="5" customWidth="1"/>
    <col min="12" max="12" width="26.5" style="5" customWidth="1"/>
    <col min="13" max="13" width="10.83203125" style="1"/>
    <col min="14" max="14" width="12" style="1" customWidth="1"/>
    <col min="15" max="16384" width="10.83203125" style="1"/>
  </cols>
  <sheetData>
    <row r="2" spans="1:14" ht="36" customHeight="1">
      <c r="A2" s="7" t="s">
        <v>56</v>
      </c>
      <c r="B2" s="7"/>
      <c r="C2" s="7"/>
      <c r="D2" s="7"/>
      <c r="F2" s="6"/>
      <c r="G2" s="6"/>
      <c r="H2" s="6"/>
      <c r="I2" s="6"/>
      <c r="J2" s="6"/>
    </row>
    <row r="3" spans="1:14" s="46" customFormat="1">
      <c r="A3" s="46" t="s">
        <v>156</v>
      </c>
    </row>
    <row r="4" spans="1:14" ht="20" customHeight="1">
      <c r="G4" s="44" t="s">
        <v>51</v>
      </c>
      <c r="H4" s="45"/>
      <c r="I4" s="44" t="s">
        <v>52</v>
      </c>
      <c r="J4" s="45"/>
    </row>
    <row r="5" spans="1:14" ht="37.5" thickBot="1">
      <c r="A5" s="22" t="s">
        <v>1</v>
      </c>
      <c r="B5" s="22" t="s">
        <v>78</v>
      </c>
      <c r="C5" s="22" t="s">
        <v>80</v>
      </c>
      <c r="D5" s="22" t="s">
        <v>79</v>
      </c>
      <c r="E5" s="22" t="s">
        <v>62</v>
      </c>
      <c r="F5" s="22" t="s">
        <v>57</v>
      </c>
      <c r="G5" s="37" t="s">
        <v>74</v>
      </c>
      <c r="H5" s="38" t="s">
        <v>76</v>
      </c>
      <c r="I5" s="37" t="s">
        <v>75</v>
      </c>
      <c r="J5" s="38" t="s">
        <v>77</v>
      </c>
      <c r="K5" s="23" t="s">
        <v>70</v>
      </c>
      <c r="L5" s="23" t="s">
        <v>55</v>
      </c>
    </row>
    <row r="6" spans="1:14" ht="231.5" customHeight="1">
      <c r="A6" s="24" t="s">
        <v>2</v>
      </c>
      <c r="B6" s="24" t="s">
        <v>86</v>
      </c>
      <c r="C6" s="24" t="s">
        <v>93</v>
      </c>
      <c r="D6" s="24" t="s">
        <v>147</v>
      </c>
      <c r="E6" s="24" t="s">
        <v>148</v>
      </c>
      <c r="F6" s="24" t="s">
        <v>96</v>
      </c>
      <c r="G6" s="40">
        <v>3</v>
      </c>
      <c r="H6" s="41" t="s">
        <v>59</v>
      </c>
      <c r="I6" s="40">
        <v>4</v>
      </c>
      <c r="J6" s="25" t="s">
        <v>54</v>
      </c>
      <c r="K6" s="39">
        <f t="shared" ref="K6:K14" si="0">IF(ISBLANK(I6),"",G6+I6-1)</f>
        <v>6</v>
      </c>
      <c r="L6" s="24" t="s">
        <v>149</v>
      </c>
    </row>
    <row r="7" spans="1:14" ht="211.5" customHeight="1">
      <c r="A7" s="24" t="s">
        <v>3</v>
      </c>
      <c r="B7" s="24" t="s">
        <v>86</v>
      </c>
      <c r="C7" s="24" t="s">
        <v>94</v>
      </c>
      <c r="D7" s="24" t="s">
        <v>97</v>
      </c>
      <c r="E7" s="24" t="s">
        <v>99</v>
      </c>
      <c r="F7" s="24" t="s">
        <v>98</v>
      </c>
      <c r="G7" s="40">
        <v>4</v>
      </c>
      <c r="H7" s="41" t="str">
        <f>IF(ISBLANK(G7),"",VLOOKUP(G7,Data!$C$5:$D$8,2))</f>
        <v>Mycket hög</v>
      </c>
      <c r="I7" s="40">
        <v>2</v>
      </c>
      <c r="J7" s="25" t="str">
        <f>IF(ISBLANK(I7),"",VLOOKUP(I7,Data!$E$5:$F$8,2))</f>
        <v>Måttlig</v>
      </c>
      <c r="K7" s="39">
        <f t="shared" si="0"/>
        <v>5</v>
      </c>
      <c r="L7" s="24" t="s">
        <v>137</v>
      </c>
    </row>
    <row r="8" spans="1:14" ht="267.5" customHeight="1">
      <c r="A8" s="24" t="s">
        <v>4</v>
      </c>
      <c r="B8" s="24" t="s">
        <v>87</v>
      </c>
      <c r="C8" s="24" t="s">
        <v>95</v>
      </c>
      <c r="D8" s="24" t="s">
        <v>100</v>
      </c>
      <c r="E8" s="24" t="s">
        <v>150</v>
      </c>
      <c r="F8" s="24" t="s">
        <v>101</v>
      </c>
      <c r="G8" s="40">
        <v>3</v>
      </c>
      <c r="H8" s="41" t="str">
        <f>IF(ISBLANK(G8),"",VLOOKUP(G8,Data!$C$5:$D$8,2))</f>
        <v>Hög</v>
      </c>
      <c r="I8" s="40">
        <v>4</v>
      </c>
      <c r="J8" s="25" t="str">
        <f>IF(ISBLANK(I8),"",VLOOKUP(I8,Data!$E$5:$F$8,2))</f>
        <v>Allvarlig</v>
      </c>
      <c r="K8" s="39">
        <f t="shared" si="0"/>
        <v>6</v>
      </c>
      <c r="L8" s="24" t="s">
        <v>151</v>
      </c>
    </row>
    <row r="9" spans="1:14" ht="285.5" customHeight="1">
      <c r="A9" s="24" t="s">
        <v>5</v>
      </c>
      <c r="B9" s="24" t="s">
        <v>87</v>
      </c>
      <c r="C9" s="24" t="s">
        <v>93</v>
      </c>
      <c r="D9" s="24" t="s">
        <v>152</v>
      </c>
      <c r="E9" s="24" t="s">
        <v>148</v>
      </c>
      <c r="F9" s="24" t="s">
        <v>102</v>
      </c>
      <c r="G9" s="40">
        <v>2</v>
      </c>
      <c r="H9" s="41" t="str">
        <f>IF(ISBLANK(G9),"",VLOOKUP(G9,Data!$C$5:$D$8,2))</f>
        <v>Medelhög</v>
      </c>
      <c r="I9" s="40">
        <v>4</v>
      </c>
      <c r="J9" s="25" t="str">
        <f>IF(ISBLANK(I9),"",VLOOKUP(I9,Data!$E$5:$F$8,2))</f>
        <v>Allvarlig</v>
      </c>
      <c r="K9" s="39">
        <f t="shared" si="0"/>
        <v>5</v>
      </c>
      <c r="L9" s="24" t="s">
        <v>155</v>
      </c>
    </row>
    <row r="10" spans="1:14" ht="290.5" customHeight="1">
      <c r="A10" s="24" t="s">
        <v>6</v>
      </c>
      <c r="B10" s="24" t="s">
        <v>88</v>
      </c>
      <c r="C10" s="24" t="s">
        <v>94</v>
      </c>
      <c r="D10" s="24" t="s">
        <v>103</v>
      </c>
      <c r="E10" s="24" t="s">
        <v>104</v>
      </c>
      <c r="F10" s="24" t="s">
        <v>105</v>
      </c>
      <c r="G10" s="40">
        <v>3</v>
      </c>
      <c r="H10" s="41" t="str">
        <f>IF(ISBLANK(G10),"",VLOOKUP(G10,Data!$C$5:$D$8,2))</f>
        <v>Hög</v>
      </c>
      <c r="I10" s="40">
        <v>3</v>
      </c>
      <c r="J10" s="25" t="str">
        <f>IF(ISBLANK(I10),"",VLOOKUP(I10,Data!$E$5:$F$8,2))</f>
        <v xml:space="preserve">Betydande </v>
      </c>
      <c r="K10" s="39">
        <f t="shared" si="0"/>
        <v>5</v>
      </c>
      <c r="L10" s="24" t="s">
        <v>153</v>
      </c>
    </row>
    <row r="11" spans="1:14" ht="268" customHeight="1">
      <c r="A11" s="24" t="s">
        <v>7</v>
      </c>
      <c r="B11" s="24" t="s">
        <v>89</v>
      </c>
      <c r="C11" s="24" t="s">
        <v>95</v>
      </c>
      <c r="D11" s="24" t="s">
        <v>165</v>
      </c>
      <c r="E11" s="24" t="s">
        <v>106</v>
      </c>
      <c r="F11" s="24" t="s">
        <v>107</v>
      </c>
      <c r="G11" s="40">
        <v>3</v>
      </c>
      <c r="H11" s="41" t="str">
        <f>IF(ISBLANK(G11),"",VLOOKUP(G11,Data!$C$5:$D$8,2))</f>
        <v>Hög</v>
      </c>
      <c r="I11" s="40">
        <v>4</v>
      </c>
      <c r="J11" s="25" t="str">
        <f>IF(ISBLANK(I11),"",VLOOKUP(I11,Data!$E$5:$F$8,2))</f>
        <v>Allvarlig</v>
      </c>
      <c r="K11" s="39">
        <f t="shared" si="0"/>
        <v>6</v>
      </c>
      <c r="L11" s="24" t="s">
        <v>138</v>
      </c>
    </row>
    <row r="12" spans="1:14" ht="305" customHeight="1">
      <c r="A12" s="24" t="s">
        <v>8</v>
      </c>
      <c r="B12" s="24" t="s">
        <v>89</v>
      </c>
      <c r="C12" s="24" t="s">
        <v>94</v>
      </c>
      <c r="D12" s="24" t="s">
        <v>108</v>
      </c>
      <c r="E12" s="24" t="s">
        <v>109</v>
      </c>
      <c r="F12" s="24" t="s">
        <v>110</v>
      </c>
      <c r="G12" s="40">
        <v>2</v>
      </c>
      <c r="H12" s="41" t="str">
        <f>IF(ISBLANK(G12),"",VLOOKUP(G12,Data!$C$5:$D$8,2))</f>
        <v>Medelhög</v>
      </c>
      <c r="I12" s="40">
        <v>2</v>
      </c>
      <c r="J12" s="25" t="str">
        <f>IF(ISBLANK(I12),"",VLOOKUP(I12,Data!$E$5:$F$8,2))</f>
        <v>Måttlig</v>
      </c>
      <c r="K12" s="39">
        <f t="shared" si="0"/>
        <v>3</v>
      </c>
      <c r="L12" s="24" t="s">
        <v>164</v>
      </c>
    </row>
    <row r="13" spans="1:14" ht="230" customHeight="1">
      <c r="A13" s="24" t="s">
        <v>9</v>
      </c>
      <c r="B13" s="24" t="s">
        <v>89</v>
      </c>
      <c r="C13" s="24" t="s">
        <v>94</v>
      </c>
      <c r="D13" s="24" t="s">
        <v>111</v>
      </c>
      <c r="E13" s="24" t="s">
        <v>112</v>
      </c>
      <c r="F13" s="24" t="s">
        <v>113</v>
      </c>
      <c r="G13" s="40">
        <v>3</v>
      </c>
      <c r="H13" s="41" t="str">
        <f>IF(ISBLANK(G13),"",VLOOKUP(G13,Data!$C$5:$D$8,2))</f>
        <v>Hög</v>
      </c>
      <c r="I13" s="40">
        <v>2</v>
      </c>
      <c r="J13" s="25" t="str">
        <f>IF(ISBLANK(I13),"",VLOOKUP(I13,Data!$E$5:$F$8,2))</f>
        <v>Måttlig</v>
      </c>
      <c r="K13" s="39">
        <f t="shared" si="0"/>
        <v>4</v>
      </c>
      <c r="L13" s="24" t="s">
        <v>136</v>
      </c>
    </row>
    <row r="14" spans="1:14" ht="306" customHeight="1">
      <c r="A14" s="24" t="s">
        <v>10</v>
      </c>
      <c r="B14" s="24" t="s">
        <v>90</v>
      </c>
      <c r="C14" s="24" t="s">
        <v>93</v>
      </c>
      <c r="D14" s="24" t="s">
        <v>114</v>
      </c>
      <c r="E14" s="24" t="s">
        <v>154</v>
      </c>
      <c r="F14" s="35" t="s">
        <v>115</v>
      </c>
      <c r="G14" s="26">
        <v>3</v>
      </c>
      <c r="H14" s="25" t="str">
        <f>IF(ISBLANK(G14),"",VLOOKUP(G14,Data!$C$5:$D$8,2))</f>
        <v>Hög</v>
      </c>
      <c r="I14" s="26">
        <v>2</v>
      </c>
      <c r="J14" s="25" t="str">
        <f>IF(ISBLANK(I14),"",VLOOKUP(I14,Data!$E$5:$F$8,2))</f>
        <v>Måttlig</v>
      </c>
      <c r="K14" s="39">
        <f t="shared" si="0"/>
        <v>4</v>
      </c>
      <c r="L14" s="24" t="s">
        <v>139</v>
      </c>
    </row>
    <row r="15" spans="1:14" ht="285.5" customHeight="1">
      <c r="A15" s="24" t="s">
        <v>11</v>
      </c>
      <c r="B15" s="24" t="s">
        <v>91</v>
      </c>
      <c r="C15" s="24" t="s">
        <v>93</v>
      </c>
      <c r="D15" s="24" t="s">
        <v>119</v>
      </c>
      <c r="E15" s="24" t="s">
        <v>118</v>
      </c>
      <c r="F15" s="36" t="s">
        <v>116</v>
      </c>
      <c r="G15" s="26">
        <v>2</v>
      </c>
      <c r="H15" s="25" t="str">
        <f>IF(ISBLANK(G15),"",VLOOKUP(G15,Data!$C$5:$D$8,2))</f>
        <v>Medelhög</v>
      </c>
      <c r="I15" s="26">
        <v>4</v>
      </c>
      <c r="J15" s="25" t="str">
        <f>IF(ISBLANK(I15),"",VLOOKUP(I15,Data!$E$5:$F$8,2))</f>
        <v>Allvarlig</v>
      </c>
      <c r="K15" s="39">
        <f>IF(ISBLANK(I15),"",G15+I15-1)</f>
        <v>5</v>
      </c>
      <c r="L15" s="24" t="s">
        <v>157</v>
      </c>
      <c r="N15" s="3"/>
    </row>
    <row r="16" spans="1:14" ht="356" customHeight="1">
      <c r="A16" s="24" t="s">
        <v>12</v>
      </c>
      <c r="B16" s="24" t="s">
        <v>92</v>
      </c>
      <c r="C16" s="24" t="s">
        <v>93</v>
      </c>
      <c r="D16" s="24" t="s">
        <v>158</v>
      </c>
      <c r="E16" s="24" t="s">
        <v>159</v>
      </c>
      <c r="F16" s="24" t="s">
        <v>117</v>
      </c>
      <c r="G16" s="26">
        <v>2</v>
      </c>
      <c r="H16" s="25" t="str">
        <f>IF(ISBLANK(G16),"",VLOOKUP(G16,Data!$C$5:$D$8,2))</f>
        <v>Medelhög</v>
      </c>
      <c r="I16" s="26">
        <v>4</v>
      </c>
      <c r="J16" s="25" t="str">
        <f>IF(ISBLANK(I16),"",VLOOKUP(I16,Data!$E$5:$F$8,2))</f>
        <v>Allvarlig</v>
      </c>
      <c r="K16" s="39">
        <f>IF(ISBLANK(I16),"",G16+I16-1)</f>
        <v>5</v>
      </c>
      <c r="L16" s="24" t="s">
        <v>166</v>
      </c>
      <c r="M16" s="27"/>
    </row>
    <row r="17" spans="1:13">
      <c r="A17" s="24" t="s">
        <v>13</v>
      </c>
      <c r="B17" s="24"/>
      <c r="C17" s="24"/>
      <c r="D17" s="24"/>
      <c r="E17" s="24"/>
      <c r="F17" s="24"/>
      <c r="G17" s="26"/>
      <c r="H17" s="25" t="str">
        <f>IF(ISBLANK(G17),"",VLOOKUP(G17,Data!$C$5:$D$8,2))</f>
        <v/>
      </c>
      <c r="I17" s="26"/>
      <c r="J17" s="25" t="str">
        <f>IF(ISBLANK(I17),"",VLOOKUP(I17,Data!$E$5:$F$8,2))</f>
        <v/>
      </c>
      <c r="K17" s="39" t="str">
        <f t="shared" ref="K17:K54" si="1">IF(ISBLANK(I17),"",G17+I17-1)</f>
        <v/>
      </c>
      <c r="L17" s="24"/>
      <c r="M17" s="27"/>
    </row>
    <row r="18" spans="1:13">
      <c r="A18" s="24" t="s">
        <v>14</v>
      </c>
      <c r="B18" s="24"/>
      <c r="C18" s="24"/>
      <c r="D18" s="24"/>
      <c r="E18" s="24"/>
      <c r="F18" s="24"/>
      <c r="G18" s="26"/>
      <c r="H18" s="25" t="str">
        <f>IF(ISBLANK(G18),"",VLOOKUP(G18,Data!$C$5:$D$8,2))</f>
        <v/>
      </c>
      <c r="I18" s="26"/>
      <c r="J18" s="25" t="str">
        <f>IF(ISBLANK(I18),"",VLOOKUP(I18,Data!$E$5:$F$8,2))</f>
        <v/>
      </c>
      <c r="K18" s="39" t="str">
        <f t="shared" si="1"/>
        <v/>
      </c>
      <c r="L18" s="24"/>
      <c r="M18" s="28"/>
    </row>
    <row r="19" spans="1:13">
      <c r="A19" s="24" t="s">
        <v>15</v>
      </c>
      <c r="B19" s="24"/>
      <c r="C19" s="24"/>
      <c r="D19" s="24"/>
      <c r="E19" s="24"/>
      <c r="F19" s="24"/>
      <c r="G19" s="26"/>
      <c r="H19" s="25" t="str">
        <f>IF(ISBLANK(G19),"",VLOOKUP(G19,Data!$C$5:$D$8,2))</f>
        <v/>
      </c>
      <c r="I19" s="26"/>
      <c r="J19" s="25" t="str">
        <f>IF(ISBLANK(I19),"",VLOOKUP(I19,Data!$E$5:$F$8,2))</f>
        <v/>
      </c>
      <c r="K19" s="39" t="str">
        <f t="shared" si="1"/>
        <v/>
      </c>
      <c r="L19" s="24"/>
      <c r="M19" s="28"/>
    </row>
    <row r="20" spans="1:13">
      <c r="A20" s="24" t="s">
        <v>16</v>
      </c>
      <c r="B20" s="24"/>
      <c r="C20" s="24"/>
      <c r="D20" s="24"/>
      <c r="E20" s="24"/>
      <c r="F20" s="25"/>
      <c r="G20" s="26"/>
      <c r="H20" s="25" t="str">
        <f>IF(ISBLANK(G20),"",VLOOKUP(G20,Data!$C$5:$D$8,2))</f>
        <v/>
      </c>
      <c r="I20" s="26"/>
      <c r="J20" s="25" t="str">
        <f>IF(ISBLANK(I20),"",VLOOKUP(I20,Data!$E$5:$F$8,2))</f>
        <v/>
      </c>
      <c r="K20" s="39" t="str">
        <f t="shared" si="1"/>
        <v/>
      </c>
      <c r="L20" s="24"/>
      <c r="M20" s="28"/>
    </row>
    <row r="21" spans="1:13">
      <c r="A21" s="24" t="s">
        <v>17</v>
      </c>
      <c r="B21" s="24"/>
      <c r="C21" s="24"/>
      <c r="D21" s="24"/>
      <c r="E21" s="24"/>
      <c r="F21" s="25"/>
      <c r="G21" s="26"/>
      <c r="H21" s="25" t="str">
        <f>IF(ISBLANK(G21),"",VLOOKUP(G21,Data!$C$5:$D$8,2))</f>
        <v/>
      </c>
      <c r="I21" s="26"/>
      <c r="J21" s="25" t="str">
        <f>IF(ISBLANK(I21),"",VLOOKUP(I21,Data!$E$5:$F$8,2))</f>
        <v/>
      </c>
      <c r="K21" s="39" t="str">
        <f t="shared" si="1"/>
        <v/>
      </c>
      <c r="L21" s="24"/>
      <c r="M21" s="28"/>
    </row>
    <row r="22" spans="1:13">
      <c r="A22" s="24" t="s">
        <v>18</v>
      </c>
      <c r="B22" s="24"/>
      <c r="C22" s="24"/>
      <c r="D22" s="24"/>
      <c r="E22" s="24"/>
      <c r="F22" s="25"/>
      <c r="G22" s="26"/>
      <c r="H22" s="25" t="str">
        <f>IF(ISBLANK(G22),"",VLOOKUP(G22,Data!$C$5:$D$8,2))</f>
        <v/>
      </c>
      <c r="I22" s="26"/>
      <c r="J22" s="25" t="str">
        <f>IF(ISBLANK(I22),"",VLOOKUP(I22,Data!$E$5:$F$8,2))</f>
        <v/>
      </c>
      <c r="K22" s="39" t="str">
        <f t="shared" si="1"/>
        <v/>
      </c>
      <c r="L22" s="24"/>
    </row>
    <row r="23" spans="1:13">
      <c r="A23" s="24" t="s">
        <v>19</v>
      </c>
      <c r="B23" s="24"/>
      <c r="C23" s="24"/>
      <c r="D23" s="24"/>
      <c r="E23" s="24"/>
      <c r="F23" s="25"/>
      <c r="G23" s="26"/>
      <c r="H23" s="25" t="str">
        <f>IF(ISBLANK(G23),"",VLOOKUP(G23,Data!$C$5:$D$8,2))</f>
        <v/>
      </c>
      <c r="I23" s="26"/>
      <c r="J23" s="25" t="str">
        <f>IF(ISBLANK(I23),"",VLOOKUP(I23,Data!$E$5:$F$8,2))</f>
        <v/>
      </c>
      <c r="K23" s="39" t="str">
        <f t="shared" si="1"/>
        <v/>
      </c>
      <c r="L23" s="24"/>
    </row>
    <row r="24" spans="1:13">
      <c r="A24" s="24" t="s">
        <v>20</v>
      </c>
      <c r="B24" s="24"/>
      <c r="C24" s="24"/>
      <c r="D24" s="24"/>
      <c r="E24" s="24"/>
      <c r="F24" s="25"/>
      <c r="G24" s="26"/>
      <c r="H24" s="25" t="str">
        <f>IF(ISBLANK(G24),"",VLOOKUP(G24,Data!$C$5:$D$8,2))</f>
        <v/>
      </c>
      <c r="I24" s="26"/>
      <c r="J24" s="25" t="str">
        <f>IF(ISBLANK(I24),"",VLOOKUP(I24,Data!$E$5:$F$8,2))</f>
        <v/>
      </c>
      <c r="K24" s="39" t="str">
        <f t="shared" si="1"/>
        <v/>
      </c>
      <c r="L24" s="24"/>
    </row>
    <row r="25" spans="1:13">
      <c r="A25" s="24" t="s">
        <v>21</v>
      </c>
      <c r="B25" s="24"/>
      <c r="C25" s="24"/>
      <c r="D25" s="24"/>
      <c r="E25" s="24"/>
      <c r="F25" s="25"/>
      <c r="G25" s="26"/>
      <c r="H25" s="25" t="str">
        <f>IF(ISBLANK(G25),"",VLOOKUP(G25,Data!$C$5:$D$8,2))</f>
        <v/>
      </c>
      <c r="I25" s="26"/>
      <c r="J25" s="25" t="str">
        <f>IF(ISBLANK(I25),"",VLOOKUP(I25,Data!$E$5:$F$8,2))</f>
        <v/>
      </c>
      <c r="K25" s="39" t="str">
        <f t="shared" si="1"/>
        <v/>
      </c>
      <c r="L25" s="24"/>
    </row>
    <row r="26" spans="1:13">
      <c r="A26" s="24" t="s">
        <v>22</v>
      </c>
      <c r="B26" s="24"/>
      <c r="C26" s="24"/>
      <c r="D26" s="24"/>
      <c r="E26" s="24"/>
      <c r="F26" s="25"/>
      <c r="G26" s="26"/>
      <c r="H26" s="25" t="str">
        <f>IF(ISBLANK(G26),"",VLOOKUP(G26,Data!$C$5:$D$8,2))</f>
        <v/>
      </c>
      <c r="I26" s="26"/>
      <c r="J26" s="25" t="str">
        <f>IF(ISBLANK(I26),"",VLOOKUP(I26,Data!$E$5:$F$8,2))</f>
        <v/>
      </c>
      <c r="K26" s="39" t="str">
        <f t="shared" si="1"/>
        <v/>
      </c>
      <c r="L26" s="24"/>
    </row>
    <row r="27" spans="1:13">
      <c r="A27" s="24" t="s">
        <v>23</v>
      </c>
      <c r="B27" s="24"/>
      <c r="C27" s="24"/>
      <c r="D27" s="24"/>
      <c r="E27" s="24"/>
      <c r="F27" s="25"/>
      <c r="G27" s="26"/>
      <c r="H27" s="25" t="str">
        <f>IF(ISBLANK(G27),"",VLOOKUP(G27,Data!$C$5:$D$8,2))</f>
        <v/>
      </c>
      <c r="I27" s="26"/>
      <c r="J27" s="25" t="str">
        <f>IF(ISBLANK(I27),"",VLOOKUP(I27,Data!$E$5:$F$8,2))</f>
        <v/>
      </c>
      <c r="K27" s="39" t="str">
        <f t="shared" si="1"/>
        <v/>
      </c>
      <c r="L27" s="24"/>
    </row>
    <row r="28" spans="1:13">
      <c r="A28" s="24" t="s">
        <v>24</v>
      </c>
      <c r="B28" s="24"/>
      <c r="C28" s="24"/>
      <c r="D28" s="24"/>
      <c r="E28" s="24"/>
      <c r="F28" s="25"/>
      <c r="G28" s="26"/>
      <c r="H28" s="25" t="str">
        <f>IF(ISBLANK(G28),"",VLOOKUP(G28,Data!$C$5:$D$8,2))</f>
        <v/>
      </c>
      <c r="I28" s="26"/>
      <c r="J28" s="25" t="str">
        <f>IF(ISBLANK(I28),"",VLOOKUP(I28,Data!$E$5:$F$8,2))</f>
        <v/>
      </c>
      <c r="K28" s="39" t="str">
        <f t="shared" si="1"/>
        <v/>
      </c>
      <c r="L28" s="24"/>
    </row>
    <row r="29" spans="1:13">
      <c r="A29" s="24" t="s">
        <v>25</v>
      </c>
      <c r="B29" s="24"/>
      <c r="C29" s="24"/>
      <c r="D29" s="24"/>
      <c r="E29" s="24"/>
      <c r="F29" s="25"/>
      <c r="G29" s="26"/>
      <c r="H29" s="25" t="str">
        <f>IF(ISBLANK(G29),"",VLOOKUP(G29,Data!$C$5:$D$8,2))</f>
        <v/>
      </c>
      <c r="I29" s="26"/>
      <c r="J29" s="25" t="str">
        <f>IF(ISBLANK(I29),"",VLOOKUP(I29,Data!$E$5:$F$8,2))</f>
        <v/>
      </c>
      <c r="K29" s="39" t="str">
        <f t="shared" si="1"/>
        <v/>
      </c>
      <c r="L29" s="24"/>
    </row>
    <row r="30" spans="1:13">
      <c r="A30" s="24" t="s">
        <v>26</v>
      </c>
      <c r="B30" s="24"/>
      <c r="C30" s="24"/>
      <c r="D30" s="24"/>
      <c r="E30" s="24"/>
      <c r="F30" s="25"/>
      <c r="G30" s="26"/>
      <c r="H30" s="25" t="str">
        <f>IF(ISBLANK(G30),"",VLOOKUP(G30,Data!$C$5:$D$8,2))</f>
        <v/>
      </c>
      <c r="I30" s="26"/>
      <c r="J30" s="25" t="str">
        <f>IF(ISBLANK(I30),"",VLOOKUP(I30,Data!$E$5:$F$8,2))</f>
        <v/>
      </c>
      <c r="K30" s="39" t="str">
        <f t="shared" si="1"/>
        <v/>
      </c>
      <c r="L30" s="24"/>
    </row>
    <row r="31" spans="1:13">
      <c r="A31" s="24" t="s">
        <v>27</v>
      </c>
      <c r="B31" s="24"/>
      <c r="C31" s="24"/>
      <c r="D31" s="24"/>
      <c r="E31" s="24"/>
      <c r="F31" s="25"/>
      <c r="G31" s="26"/>
      <c r="H31" s="25" t="str">
        <f>IF(ISBLANK(G31),"",VLOOKUP(G31,Data!$C$5:$D$8,2))</f>
        <v/>
      </c>
      <c r="I31" s="26"/>
      <c r="J31" s="25" t="str">
        <f>IF(ISBLANK(I31),"",VLOOKUP(I31,Data!$E$5:$F$8,2))</f>
        <v/>
      </c>
      <c r="K31" s="39" t="str">
        <f t="shared" si="1"/>
        <v/>
      </c>
      <c r="L31" s="24"/>
    </row>
    <row r="32" spans="1:13">
      <c r="A32" s="24" t="s">
        <v>28</v>
      </c>
      <c r="B32" s="24"/>
      <c r="C32" s="24"/>
      <c r="D32" s="24"/>
      <c r="E32" s="24"/>
      <c r="F32" s="25"/>
      <c r="G32" s="26"/>
      <c r="H32" s="25" t="str">
        <f>IF(ISBLANK(G32),"",VLOOKUP(G32,Data!$C$5:$D$8,2))</f>
        <v/>
      </c>
      <c r="I32" s="26"/>
      <c r="J32" s="25" t="str">
        <f>IF(ISBLANK(I32),"",VLOOKUP(I32,Data!$E$5:$F$8,2))</f>
        <v/>
      </c>
      <c r="K32" s="39" t="str">
        <f t="shared" si="1"/>
        <v/>
      </c>
      <c r="L32" s="24"/>
    </row>
    <row r="33" spans="1:12">
      <c r="A33" s="24" t="s">
        <v>29</v>
      </c>
      <c r="B33" s="24"/>
      <c r="C33" s="24"/>
      <c r="D33" s="24"/>
      <c r="E33" s="24"/>
      <c r="F33" s="25"/>
      <c r="G33" s="26"/>
      <c r="H33" s="25" t="str">
        <f>IF(ISBLANK(G33),"",VLOOKUP(G33,Data!$C$5:$D$8,2))</f>
        <v/>
      </c>
      <c r="I33" s="26"/>
      <c r="J33" s="25" t="str">
        <f>IF(ISBLANK(I33),"",VLOOKUP(I33,Data!$E$5:$F$8,2))</f>
        <v/>
      </c>
      <c r="K33" s="39" t="str">
        <f t="shared" si="1"/>
        <v/>
      </c>
      <c r="L33" s="24"/>
    </row>
    <row r="34" spans="1:12">
      <c r="A34" s="24" t="s">
        <v>30</v>
      </c>
      <c r="B34" s="24"/>
      <c r="C34" s="24"/>
      <c r="D34" s="24"/>
      <c r="E34" s="24"/>
      <c r="F34" s="25"/>
      <c r="G34" s="26"/>
      <c r="H34" s="25" t="str">
        <f>IF(ISBLANK(G34),"",VLOOKUP(G34,Data!$C$5:$D$8,2))</f>
        <v/>
      </c>
      <c r="I34" s="26"/>
      <c r="J34" s="25" t="str">
        <f>IF(ISBLANK(I34),"",VLOOKUP(I34,Data!$E$5:$F$8,2))</f>
        <v/>
      </c>
      <c r="K34" s="39" t="str">
        <f t="shared" si="1"/>
        <v/>
      </c>
      <c r="L34" s="24"/>
    </row>
    <row r="35" spans="1:12">
      <c r="A35" s="24" t="s">
        <v>31</v>
      </c>
      <c r="B35" s="24"/>
      <c r="C35" s="24"/>
      <c r="D35" s="24"/>
      <c r="E35" s="24"/>
      <c r="F35" s="25"/>
      <c r="G35" s="26"/>
      <c r="H35" s="25" t="str">
        <f>IF(ISBLANK(G35),"",VLOOKUP(G35,Data!$C$5:$D$8,2))</f>
        <v/>
      </c>
      <c r="I35" s="26"/>
      <c r="J35" s="25" t="str">
        <f>IF(ISBLANK(I35),"",VLOOKUP(I35,Data!$E$5:$F$8,2))</f>
        <v/>
      </c>
      <c r="K35" s="39" t="str">
        <f t="shared" si="1"/>
        <v/>
      </c>
      <c r="L35" s="24"/>
    </row>
    <row r="36" spans="1:12">
      <c r="A36" s="24" t="s">
        <v>32</v>
      </c>
      <c r="B36" s="24"/>
      <c r="C36" s="24"/>
      <c r="D36" s="24"/>
      <c r="E36" s="24"/>
      <c r="F36" s="25"/>
      <c r="G36" s="26"/>
      <c r="H36" s="25" t="str">
        <f>IF(ISBLANK(G36),"",VLOOKUP(G36,Data!$C$5:$D$8,2))</f>
        <v/>
      </c>
      <c r="I36" s="26"/>
      <c r="J36" s="25" t="str">
        <f>IF(ISBLANK(I36),"",VLOOKUP(I36,Data!$E$5:$F$8,2))</f>
        <v/>
      </c>
      <c r="K36" s="39" t="str">
        <f t="shared" si="1"/>
        <v/>
      </c>
      <c r="L36" s="24"/>
    </row>
    <row r="37" spans="1:12">
      <c r="A37" s="24" t="s">
        <v>33</v>
      </c>
      <c r="B37" s="24"/>
      <c r="C37" s="24"/>
      <c r="D37" s="24"/>
      <c r="E37" s="24"/>
      <c r="F37" s="25"/>
      <c r="G37" s="26"/>
      <c r="H37" s="25" t="str">
        <f>IF(ISBLANK(G37),"",VLOOKUP(G37,Data!$C$5:$D$8,2))</f>
        <v/>
      </c>
      <c r="I37" s="26"/>
      <c r="J37" s="25" t="str">
        <f>IF(ISBLANK(I37),"",VLOOKUP(I37,Data!$E$5:$F$8,2))</f>
        <v/>
      </c>
      <c r="K37" s="39" t="str">
        <f t="shared" si="1"/>
        <v/>
      </c>
      <c r="L37" s="24"/>
    </row>
    <row r="38" spans="1:12">
      <c r="A38" s="24" t="s">
        <v>34</v>
      </c>
      <c r="B38" s="24"/>
      <c r="C38" s="24"/>
      <c r="D38" s="24"/>
      <c r="E38" s="24"/>
      <c r="F38" s="25"/>
      <c r="G38" s="26"/>
      <c r="H38" s="25" t="str">
        <f>IF(ISBLANK(G38),"",VLOOKUP(G38,Data!$C$5:$D$8,2))</f>
        <v/>
      </c>
      <c r="I38" s="26"/>
      <c r="J38" s="25" t="str">
        <f>IF(ISBLANK(I38),"",VLOOKUP(I38,Data!$E$5:$F$8,2))</f>
        <v/>
      </c>
      <c r="K38" s="39" t="str">
        <f t="shared" si="1"/>
        <v/>
      </c>
      <c r="L38" s="24"/>
    </row>
    <row r="39" spans="1:12">
      <c r="A39" s="24" t="s">
        <v>35</v>
      </c>
      <c r="B39" s="24"/>
      <c r="C39" s="24"/>
      <c r="D39" s="24"/>
      <c r="E39" s="24"/>
      <c r="F39" s="25"/>
      <c r="G39" s="26"/>
      <c r="H39" s="25" t="str">
        <f>IF(ISBLANK(G39),"",VLOOKUP(G39,Data!$C$5:$D$8,2))</f>
        <v/>
      </c>
      <c r="I39" s="26"/>
      <c r="J39" s="25" t="str">
        <f>IF(ISBLANK(I39),"",VLOOKUP(I39,Data!$E$5:$F$8,2))</f>
        <v/>
      </c>
      <c r="K39" s="39" t="str">
        <f t="shared" si="1"/>
        <v/>
      </c>
      <c r="L39" s="24"/>
    </row>
    <row r="40" spans="1:12">
      <c r="A40" s="24" t="s">
        <v>36</v>
      </c>
      <c r="B40" s="24"/>
      <c r="C40" s="24"/>
      <c r="D40" s="24"/>
      <c r="E40" s="24"/>
      <c r="F40" s="25"/>
      <c r="G40" s="26"/>
      <c r="H40" s="25" t="str">
        <f>IF(ISBLANK(G40),"",VLOOKUP(G40,Data!$C$5:$D$8,2))</f>
        <v/>
      </c>
      <c r="I40" s="26"/>
      <c r="J40" s="25" t="str">
        <f>IF(ISBLANK(I40),"",VLOOKUP(I40,Data!$E$5:$F$8,2))</f>
        <v/>
      </c>
      <c r="K40" s="39" t="str">
        <f t="shared" si="1"/>
        <v/>
      </c>
      <c r="L40" s="24"/>
    </row>
    <row r="41" spans="1:12">
      <c r="A41" s="24" t="s">
        <v>37</v>
      </c>
      <c r="B41" s="24"/>
      <c r="C41" s="24"/>
      <c r="D41" s="24"/>
      <c r="E41" s="24"/>
      <c r="F41" s="25"/>
      <c r="G41" s="26"/>
      <c r="H41" s="25" t="str">
        <f>IF(ISBLANK(G41),"",VLOOKUP(G41,Data!$C$5:$D$8,2))</f>
        <v/>
      </c>
      <c r="I41" s="26"/>
      <c r="J41" s="25" t="str">
        <f>IF(ISBLANK(I41),"",VLOOKUP(I41,Data!$E$5:$F$8,2))</f>
        <v/>
      </c>
      <c r="K41" s="39" t="str">
        <f t="shared" si="1"/>
        <v/>
      </c>
      <c r="L41" s="24"/>
    </row>
    <row r="42" spans="1:12">
      <c r="A42" s="24" t="s">
        <v>38</v>
      </c>
      <c r="B42" s="24"/>
      <c r="C42" s="24"/>
      <c r="D42" s="24"/>
      <c r="E42" s="24"/>
      <c r="F42" s="25"/>
      <c r="G42" s="26"/>
      <c r="H42" s="25" t="str">
        <f>IF(ISBLANK(G42),"",VLOOKUP(G42,Data!$C$5:$D$8,2))</f>
        <v/>
      </c>
      <c r="I42" s="26"/>
      <c r="J42" s="25" t="str">
        <f>IF(ISBLANK(I42),"",VLOOKUP(I42,Data!$E$5:$F$8,2))</f>
        <v/>
      </c>
      <c r="K42" s="39" t="str">
        <f t="shared" si="1"/>
        <v/>
      </c>
      <c r="L42" s="24"/>
    </row>
    <row r="43" spans="1:12">
      <c r="A43" s="24" t="s">
        <v>39</v>
      </c>
      <c r="B43" s="24"/>
      <c r="C43" s="24"/>
      <c r="D43" s="24"/>
      <c r="E43" s="24"/>
      <c r="F43" s="25"/>
      <c r="G43" s="26"/>
      <c r="H43" s="25" t="str">
        <f>IF(ISBLANK(G43),"",VLOOKUP(G43,Data!$C$5:$D$8,2))</f>
        <v/>
      </c>
      <c r="I43" s="26"/>
      <c r="J43" s="25" t="str">
        <f>IF(ISBLANK(I43),"",VLOOKUP(I43,Data!$E$5:$F$8,2))</f>
        <v/>
      </c>
      <c r="K43" s="39" t="str">
        <f t="shared" si="1"/>
        <v/>
      </c>
      <c r="L43" s="24"/>
    </row>
    <row r="44" spans="1:12">
      <c r="A44" s="24" t="s">
        <v>40</v>
      </c>
      <c r="B44" s="24"/>
      <c r="C44" s="24"/>
      <c r="D44" s="24"/>
      <c r="E44" s="24"/>
      <c r="F44" s="25"/>
      <c r="G44" s="26"/>
      <c r="H44" s="25" t="str">
        <f>IF(ISBLANK(G44),"",VLOOKUP(G44,Data!$C$5:$D$8,2))</f>
        <v/>
      </c>
      <c r="I44" s="26"/>
      <c r="J44" s="25" t="str">
        <f>IF(ISBLANK(I44),"",VLOOKUP(I44,Data!$E$5:$F$8,2))</f>
        <v/>
      </c>
      <c r="K44" s="39" t="str">
        <f t="shared" si="1"/>
        <v/>
      </c>
      <c r="L44" s="24"/>
    </row>
    <row r="45" spans="1:12">
      <c r="A45" s="24" t="s">
        <v>41</v>
      </c>
      <c r="B45" s="24"/>
      <c r="C45" s="24"/>
      <c r="D45" s="24"/>
      <c r="E45" s="24"/>
      <c r="F45" s="25"/>
      <c r="G45" s="26"/>
      <c r="H45" s="25" t="str">
        <f>IF(ISBLANK(G45),"",VLOOKUP(G45,Data!$C$5:$D$8,2))</f>
        <v/>
      </c>
      <c r="I45" s="26"/>
      <c r="J45" s="25" t="str">
        <f>IF(ISBLANK(I45),"",VLOOKUP(I45,Data!$E$5:$F$8,2))</f>
        <v/>
      </c>
      <c r="K45" s="39" t="str">
        <f t="shared" si="1"/>
        <v/>
      </c>
      <c r="L45" s="24"/>
    </row>
    <row r="46" spans="1:12">
      <c r="A46" s="24" t="s">
        <v>42</v>
      </c>
      <c r="B46" s="24"/>
      <c r="C46" s="24"/>
      <c r="D46" s="24"/>
      <c r="E46" s="24"/>
      <c r="F46" s="25"/>
      <c r="G46" s="26"/>
      <c r="H46" s="25" t="str">
        <f>IF(ISBLANK(G46),"",VLOOKUP(G46,Data!$C$5:$D$8,2))</f>
        <v/>
      </c>
      <c r="I46" s="26"/>
      <c r="J46" s="25" t="str">
        <f>IF(ISBLANK(I46),"",VLOOKUP(I46,Data!$E$5:$F$8,2))</f>
        <v/>
      </c>
      <c r="K46" s="39" t="str">
        <f t="shared" si="1"/>
        <v/>
      </c>
      <c r="L46" s="24"/>
    </row>
    <row r="47" spans="1:12">
      <c r="A47" s="24" t="s">
        <v>43</v>
      </c>
      <c r="B47" s="24"/>
      <c r="C47" s="24"/>
      <c r="D47" s="24"/>
      <c r="E47" s="24"/>
      <c r="F47" s="25"/>
      <c r="G47" s="26"/>
      <c r="H47" s="25" t="str">
        <f>IF(ISBLANK(G47),"",VLOOKUP(G47,Data!$C$5:$D$8,2))</f>
        <v/>
      </c>
      <c r="I47" s="26"/>
      <c r="J47" s="25" t="str">
        <f>IF(ISBLANK(I47),"",VLOOKUP(I47,Data!$E$5:$F$8,2))</f>
        <v/>
      </c>
      <c r="K47" s="39" t="str">
        <f t="shared" si="1"/>
        <v/>
      </c>
      <c r="L47" s="24"/>
    </row>
    <row r="48" spans="1:12">
      <c r="A48" s="24" t="s">
        <v>44</v>
      </c>
      <c r="B48" s="24"/>
      <c r="C48" s="24"/>
      <c r="D48" s="24"/>
      <c r="E48" s="24"/>
      <c r="F48" s="25"/>
      <c r="G48" s="26"/>
      <c r="H48" s="25" t="str">
        <f>IF(ISBLANK(G48),"",VLOOKUP(G48,Data!$C$5:$D$8,2))</f>
        <v/>
      </c>
      <c r="I48" s="26"/>
      <c r="J48" s="25" t="str">
        <f>IF(ISBLANK(I48),"",VLOOKUP(I48,Data!$E$5:$F$8,2))</f>
        <v/>
      </c>
      <c r="K48" s="39" t="str">
        <f t="shared" si="1"/>
        <v/>
      </c>
      <c r="L48" s="24"/>
    </row>
    <row r="49" spans="1:12">
      <c r="A49" s="24" t="s">
        <v>45</v>
      </c>
      <c r="B49" s="24"/>
      <c r="C49" s="24"/>
      <c r="D49" s="24"/>
      <c r="E49" s="24"/>
      <c r="F49" s="25"/>
      <c r="G49" s="26"/>
      <c r="H49" s="25" t="str">
        <f>IF(ISBLANK(G49),"",VLOOKUP(G49,Data!$C$5:$D$8,2))</f>
        <v/>
      </c>
      <c r="I49" s="26"/>
      <c r="J49" s="25" t="str">
        <f>IF(ISBLANK(I49),"",VLOOKUP(I49,Data!$E$5:$F$8,2))</f>
        <v/>
      </c>
      <c r="K49" s="39" t="str">
        <f t="shared" si="1"/>
        <v/>
      </c>
      <c r="L49" s="24"/>
    </row>
    <row r="50" spans="1:12">
      <c r="A50" s="24" t="s">
        <v>46</v>
      </c>
      <c r="B50" s="24"/>
      <c r="C50" s="24"/>
      <c r="D50" s="24"/>
      <c r="E50" s="24"/>
      <c r="F50" s="25"/>
      <c r="G50" s="26"/>
      <c r="H50" s="25" t="str">
        <f>IF(ISBLANK(G50),"",VLOOKUP(G50,Data!$C$5:$D$8,2))</f>
        <v/>
      </c>
      <c r="I50" s="26"/>
      <c r="J50" s="25" t="str">
        <f>IF(ISBLANK(I50),"",VLOOKUP(I50,Data!$E$5:$F$8,2))</f>
        <v/>
      </c>
      <c r="K50" s="39" t="str">
        <f t="shared" si="1"/>
        <v/>
      </c>
      <c r="L50" s="24"/>
    </row>
    <row r="51" spans="1:12">
      <c r="A51" s="24" t="s">
        <v>47</v>
      </c>
      <c r="B51" s="24"/>
      <c r="C51" s="24"/>
      <c r="D51" s="24"/>
      <c r="E51" s="24"/>
      <c r="F51" s="25"/>
      <c r="G51" s="26"/>
      <c r="H51" s="25" t="str">
        <f>IF(ISBLANK(G51),"",VLOOKUP(G51,Data!$C$5:$D$8,2))</f>
        <v/>
      </c>
      <c r="I51" s="26"/>
      <c r="J51" s="25" t="str">
        <f>IF(ISBLANK(I51),"",VLOOKUP(I51,Data!$E$5:$F$8,2))</f>
        <v/>
      </c>
      <c r="K51" s="39" t="str">
        <f t="shared" si="1"/>
        <v/>
      </c>
      <c r="L51" s="24"/>
    </row>
    <row r="52" spans="1:12">
      <c r="A52" s="24" t="s">
        <v>48</v>
      </c>
      <c r="B52" s="24"/>
      <c r="C52" s="24"/>
      <c r="D52" s="24"/>
      <c r="E52" s="24"/>
      <c r="F52" s="25"/>
      <c r="G52" s="26"/>
      <c r="H52" s="25" t="str">
        <f>IF(ISBLANK(G52),"",VLOOKUP(G52,Data!$C$5:$D$8,2))</f>
        <v/>
      </c>
      <c r="I52" s="26"/>
      <c r="J52" s="25" t="str">
        <f>IF(ISBLANK(I52),"",VLOOKUP(I52,Data!$E$5:$F$8,2))</f>
        <v/>
      </c>
      <c r="K52" s="39" t="str">
        <f t="shared" si="1"/>
        <v/>
      </c>
      <c r="L52" s="24"/>
    </row>
    <row r="53" spans="1:12">
      <c r="A53" s="24" t="s">
        <v>49</v>
      </c>
      <c r="B53" s="24"/>
      <c r="C53" s="24"/>
      <c r="D53" s="24"/>
      <c r="E53" s="24"/>
      <c r="F53" s="25"/>
      <c r="G53" s="26"/>
      <c r="H53" s="25" t="str">
        <f>IF(ISBLANK(G53),"",VLOOKUP(G53,Data!$C$5:$D$8,2))</f>
        <v/>
      </c>
      <c r="I53" s="26"/>
      <c r="J53" s="25" t="str">
        <f>IF(ISBLANK(I53),"",VLOOKUP(I53,Data!$E$5:$F$8,2))</f>
        <v/>
      </c>
      <c r="K53" s="39" t="str">
        <f t="shared" si="1"/>
        <v/>
      </c>
      <c r="L53" s="24"/>
    </row>
    <row r="54" spans="1:12">
      <c r="A54" s="24" t="s">
        <v>50</v>
      </c>
      <c r="B54" s="24"/>
      <c r="C54" s="24"/>
      <c r="D54" s="24"/>
      <c r="E54" s="24"/>
      <c r="F54" s="25"/>
      <c r="G54" s="26"/>
      <c r="H54" s="25" t="str">
        <f>IF(ISBLANK(G54),"",VLOOKUP(G54,Data!$C$5:$D$8,2))</f>
        <v/>
      </c>
      <c r="I54" s="26"/>
      <c r="J54" s="25" t="str">
        <f>IF(ISBLANK(I54),"",VLOOKUP(I54,Data!$E$5:$F$8,2))</f>
        <v/>
      </c>
      <c r="K54" s="39" t="str">
        <f t="shared" si="1"/>
        <v/>
      </c>
      <c r="L54" s="24"/>
    </row>
  </sheetData>
  <mergeCells count="3">
    <mergeCell ref="G4:H4"/>
    <mergeCell ref="I4:J4"/>
    <mergeCell ref="A3:XFD3"/>
  </mergeCells>
  <conditionalFormatting sqref="G6:G54">
    <cfRule type="containsText" dxfId="40" priority="5" operator="containsText" text="4">
      <formula>NOT(ISERROR(SEARCH("4",G6)))</formula>
    </cfRule>
    <cfRule type="cellIs" dxfId="39" priority="43" operator="equal">
      <formula>3</formula>
    </cfRule>
    <cfRule type="cellIs" dxfId="38" priority="44" operator="equal">
      <formula>2</formula>
    </cfRule>
    <cfRule type="cellIs" dxfId="37" priority="47" operator="equal">
      <formula>1</formula>
    </cfRule>
  </conditionalFormatting>
  <conditionalFormatting sqref="H6">
    <cfRule type="containsText" dxfId="36" priority="42" operator="containsText" text="Mycket hög">
      <formula>NOT(ISERROR(SEARCH("Mycket hög",H6)))</formula>
    </cfRule>
  </conditionalFormatting>
  <conditionalFormatting sqref="H6:H54">
    <cfRule type="containsText" dxfId="35" priority="1" operator="containsText" text="Mycket hög">
      <formula>NOT(ISERROR(SEARCH("Mycket hög",H6)))</formula>
    </cfRule>
    <cfRule type="containsText" dxfId="34" priority="2" operator="containsText" text="Låg">
      <formula>NOT(ISERROR(SEARCH("Låg",H6)))</formula>
    </cfRule>
    <cfRule type="containsText" dxfId="33" priority="3" operator="containsText" text="Medelhög">
      <formula>NOT(ISERROR(SEARCH("Medelhög",H6)))</formula>
    </cfRule>
    <cfRule type="containsText" dxfId="32" priority="4" operator="containsText" text="Hög">
      <formula>NOT(ISERROR(SEARCH("Hög",H6)))</formula>
    </cfRule>
    <cfRule type="containsText" dxfId="31" priority="21" operator="containsText" text="Mycket hög">
      <formula>NOT(ISERROR(SEARCH("Mycket hög",H6)))</formula>
    </cfRule>
    <cfRule type="containsText" dxfId="30" priority="35" operator="containsText" text="Hög">
      <formula>NOT(ISERROR(SEARCH("Hög",H6)))</formula>
    </cfRule>
    <cfRule type="containsText" dxfId="29" priority="36" operator="containsText" text="Medelhög">
      <formula>NOT(ISERROR(SEARCH("Medelhög",H6)))</formula>
    </cfRule>
    <cfRule type="containsText" dxfId="28" priority="37" operator="containsText" text="Låg">
      <formula>NOT(ISERROR(SEARCH("Låg",H6)))</formula>
    </cfRule>
  </conditionalFormatting>
  <conditionalFormatting sqref="H9">
    <cfRule type="containsText" dxfId="27" priority="18" operator="containsText" text="Medelhög">
      <formula>NOT(ISERROR(SEARCH("Medelhög",H9)))</formula>
    </cfRule>
    <cfRule type="containsText" dxfId="26" priority="19" operator="containsText" text="Låg">
      <formula>NOT(ISERROR(SEARCH("Låg",H9)))</formula>
    </cfRule>
    <cfRule type="containsText" dxfId="25" priority="20" operator="containsText" text="Hög">
      <formula>NOT(ISERROR(SEARCH("Hög",H9)))</formula>
    </cfRule>
  </conditionalFormatting>
  <conditionalFormatting sqref="H14:H15">
    <cfRule type="containsText" dxfId="24" priority="9" operator="containsText" text="Mycket hög">
      <formula>NOT(ISERROR(SEARCH("Mycket hög",H14)))</formula>
    </cfRule>
    <cfRule type="containsText" dxfId="23" priority="15" operator="containsText" text="Hög">
      <formula>NOT(ISERROR(SEARCH("Hög",H14)))</formula>
    </cfRule>
    <cfRule type="containsText" dxfId="22" priority="16" operator="containsText" text="Medelhög">
      <formula>NOT(ISERROR(SEARCH("Medelhög",H14)))</formula>
    </cfRule>
    <cfRule type="containsText" dxfId="21" priority="17" operator="containsText" text="Låg">
      <formula>NOT(ISERROR(SEARCH("Låg",H14)))</formula>
    </cfRule>
  </conditionalFormatting>
  <conditionalFormatting sqref="H15">
    <cfRule type="containsText" dxfId="20" priority="6" operator="containsText" text="Måttlig">
      <formula>NOT(ISERROR(SEARCH("Måttlig",H15)))</formula>
    </cfRule>
    <cfRule type="containsText" dxfId="19" priority="7" operator="containsText" text="Försumbar">
      <formula>NOT(ISERROR(SEARCH("Försumbar",H15)))</formula>
    </cfRule>
    <cfRule type="containsText" dxfId="18" priority="8" operator="containsText" text="Hög">
      <formula>NOT(ISERROR(SEARCH("Hög",H15)))</formula>
    </cfRule>
  </conditionalFormatting>
  <conditionalFormatting sqref="I6:I54">
    <cfRule type="cellIs" dxfId="17" priority="38" operator="equal">
      <formula>4</formula>
    </cfRule>
    <cfRule type="cellIs" dxfId="16" priority="39" operator="equal">
      <formula>3</formula>
    </cfRule>
    <cfRule type="cellIs" dxfId="15" priority="40" operator="equal">
      <formula>2</formula>
    </cfRule>
    <cfRule type="cellIs" dxfId="14" priority="41" operator="equal">
      <formula>1</formula>
    </cfRule>
  </conditionalFormatting>
  <conditionalFormatting sqref="J6:J54">
    <cfRule type="containsText" dxfId="13" priority="71" operator="containsText" text="Måttlig">
      <formula>NOT(ISERROR(SEARCH("Måttlig",J6)))</formula>
    </cfRule>
    <cfRule type="containsText" dxfId="12" priority="72" operator="containsText" text="Försumbar">
      <formula>NOT(ISERROR(SEARCH("Försumbar",J6)))</formula>
    </cfRule>
    <cfRule type="containsText" dxfId="11" priority="73" operator="containsText" text="Betydande">
      <formula>NOT(ISERROR(SEARCH("Betydande",J6)))</formula>
    </cfRule>
    <cfRule type="containsText" dxfId="10" priority="74" operator="containsText" text="Allvarlig">
      <formula>NOT(ISERROR(SEARCH("Allvarlig",J6)))</formula>
    </cfRule>
  </conditionalFormatting>
  <conditionalFormatting sqref="K6:K54">
    <cfRule type="containsText" dxfId="9" priority="48" operator="containsText" text="7">
      <formula>NOT(ISERROR(SEARCH("7",K6)))</formula>
    </cfRule>
    <cfRule type="containsText" dxfId="8" priority="49" operator="containsText" text="6">
      <formula>NOT(ISERROR(SEARCH("6",K6)))</formula>
    </cfRule>
    <cfRule type="containsText" dxfId="7" priority="66" operator="containsText" text="5">
      <formula>NOT(ISERROR(SEARCH("5",K6)))</formula>
    </cfRule>
    <cfRule type="containsText" dxfId="6" priority="67" operator="containsText" text="4">
      <formula>NOT(ISERROR(SEARCH("4",K6)))</formula>
    </cfRule>
    <cfRule type="containsText" dxfId="5" priority="68" operator="containsText" text="3">
      <formula>NOT(ISERROR(SEARCH("3",K6)))</formula>
    </cfRule>
    <cfRule type="containsText" dxfId="4" priority="69" operator="containsText" text="2">
      <formula>NOT(ISERROR(SEARCH("2",K6)))</formula>
    </cfRule>
    <cfRule type="containsText" dxfId="3" priority="70" operator="containsText" text="1">
      <formula>NOT(ISERROR(SEARCH("1",K6)))</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20"/>
  <sheetViews>
    <sheetView topLeftCell="A4" zoomScale="120" zoomScaleNormal="120" workbookViewId="0">
      <selection activeCell="E12" sqref="E12"/>
    </sheetView>
  </sheetViews>
  <sheetFormatPr defaultColWidth="10.6640625" defaultRowHeight="15.5"/>
  <cols>
    <col min="8" max="8" width="10.6640625" customWidth="1"/>
    <col min="9" max="9" width="21.5" customWidth="1"/>
  </cols>
  <sheetData>
    <row r="2" spans="1:14" ht="33.5">
      <c r="A2" s="29" t="s">
        <v>64</v>
      </c>
    </row>
    <row r="4" spans="1:14" ht="18.5">
      <c r="B4" s="1" t="s">
        <v>72</v>
      </c>
      <c r="K4" s="1" t="s">
        <v>63</v>
      </c>
    </row>
    <row r="6" spans="1:14" ht="18.5">
      <c r="C6" t="s">
        <v>67</v>
      </c>
      <c r="D6" s="2"/>
      <c r="E6" t="s">
        <v>68</v>
      </c>
      <c r="G6" t="s">
        <v>69</v>
      </c>
      <c r="I6" t="s">
        <v>83</v>
      </c>
      <c r="J6">
        <v>4</v>
      </c>
      <c r="K6" s="11">
        <v>4</v>
      </c>
      <c r="L6" s="14">
        <v>5</v>
      </c>
      <c r="M6" s="13">
        <v>6</v>
      </c>
      <c r="N6" s="12">
        <v>7</v>
      </c>
    </row>
    <row r="7" spans="1:14" ht="18" customHeight="1">
      <c r="A7">
        <v>4</v>
      </c>
      <c r="B7" s="30" t="s">
        <v>54</v>
      </c>
      <c r="C7" s="48" t="s">
        <v>120</v>
      </c>
      <c r="D7" s="48"/>
      <c r="E7" s="48" t="s">
        <v>122</v>
      </c>
      <c r="F7" s="48"/>
      <c r="G7" s="48" t="s">
        <v>160</v>
      </c>
      <c r="H7" s="48"/>
      <c r="I7" s="43" t="s">
        <v>129</v>
      </c>
      <c r="J7">
        <v>3</v>
      </c>
      <c r="K7" s="9">
        <v>3</v>
      </c>
      <c r="L7" s="11">
        <v>4</v>
      </c>
      <c r="M7" s="14">
        <v>5</v>
      </c>
      <c r="N7" s="13">
        <v>6</v>
      </c>
    </row>
    <row r="8" spans="1:14" ht="18.5">
      <c r="A8">
        <v>3</v>
      </c>
      <c r="B8" s="31" t="s">
        <v>61</v>
      </c>
      <c r="C8" s="48" t="s">
        <v>121</v>
      </c>
      <c r="D8" s="49"/>
      <c r="E8" s="48" t="s">
        <v>123</v>
      </c>
      <c r="F8" s="49"/>
      <c r="G8" s="48" t="s">
        <v>126</v>
      </c>
      <c r="H8" s="49"/>
      <c r="I8" s="43" t="s">
        <v>161</v>
      </c>
      <c r="J8">
        <v>2</v>
      </c>
      <c r="K8" s="8">
        <v>2</v>
      </c>
      <c r="L8" s="9">
        <v>3</v>
      </c>
      <c r="M8" s="11">
        <v>4</v>
      </c>
      <c r="N8" s="14">
        <v>5</v>
      </c>
    </row>
    <row r="9" spans="1:14" ht="18.5">
      <c r="A9">
        <v>2</v>
      </c>
      <c r="B9" s="32" t="s">
        <v>65</v>
      </c>
      <c r="C9" s="48" t="s">
        <v>135</v>
      </c>
      <c r="D9" s="49"/>
      <c r="E9" s="48" t="s">
        <v>124</v>
      </c>
      <c r="F9" s="49"/>
      <c r="G9" s="48" t="s">
        <v>127</v>
      </c>
      <c r="H9" s="49"/>
      <c r="I9" s="43" t="s">
        <v>162</v>
      </c>
      <c r="J9">
        <v>1</v>
      </c>
      <c r="K9" s="10">
        <v>1</v>
      </c>
      <c r="L9" s="8">
        <v>2</v>
      </c>
      <c r="M9" s="9">
        <v>3</v>
      </c>
      <c r="N9" s="11">
        <v>4</v>
      </c>
    </row>
    <row r="10" spans="1:14" ht="18.5">
      <c r="A10">
        <v>1</v>
      </c>
      <c r="B10" s="33" t="s">
        <v>66</v>
      </c>
      <c r="C10" s="48" t="s">
        <v>163</v>
      </c>
      <c r="D10" s="49"/>
      <c r="E10" s="48" t="s">
        <v>125</v>
      </c>
      <c r="F10" s="49"/>
      <c r="G10" s="48" t="s">
        <v>128</v>
      </c>
      <c r="H10" s="49"/>
      <c r="I10" s="43" t="s">
        <v>130</v>
      </c>
      <c r="K10">
        <v>1</v>
      </c>
      <c r="L10">
        <v>2</v>
      </c>
      <c r="M10">
        <v>3</v>
      </c>
      <c r="N10">
        <v>4</v>
      </c>
    </row>
    <row r="11" spans="1:14" ht="18.5">
      <c r="C11" s="1"/>
    </row>
    <row r="12" spans="1:14" ht="18.5">
      <c r="B12" s="1" t="s">
        <v>73</v>
      </c>
      <c r="H12" s="2"/>
      <c r="K12" s="1" t="s">
        <v>64</v>
      </c>
    </row>
    <row r="13" spans="1:14" ht="18.5">
      <c r="H13" s="1"/>
    </row>
    <row r="14" spans="1:14">
      <c r="A14">
        <v>4</v>
      </c>
      <c r="B14" s="30" t="s">
        <v>58</v>
      </c>
      <c r="C14" s="47" t="s">
        <v>131</v>
      </c>
      <c r="D14" s="47"/>
      <c r="K14" s="15">
        <v>7</v>
      </c>
    </row>
    <row r="15" spans="1:14">
      <c r="A15">
        <v>3</v>
      </c>
      <c r="B15" s="31" t="s">
        <v>59</v>
      </c>
      <c r="C15" s="47" t="s">
        <v>133</v>
      </c>
      <c r="D15" s="47"/>
      <c r="K15" s="16">
        <v>6</v>
      </c>
    </row>
    <row r="16" spans="1:14">
      <c r="A16">
        <v>2</v>
      </c>
      <c r="B16" s="32" t="s">
        <v>60</v>
      </c>
      <c r="C16" s="47" t="s">
        <v>132</v>
      </c>
      <c r="D16" s="47"/>
      <c r="K16" s="17">
        <v>5</v>
      </c>
    </row>
    <row r="17" spans="1:11" ht="16" customHeight="1">
      <c r="A17">
        <v>1</v>
      </c>
      <c r="B17" s="33" t="s">
        <v>53</v>
      </c>
      <c r="C17" s="47" t="s">
        <v>134</v>
      </c>
      <c r="D17" s="47"/>
      <c r="K17" s="18">
        <v>4</v>
      </c>
    </row>
    <row r="18" spans="1:11">
      <c r="K18" s="19">
        <v>3</v>
      </c>
    </row>
    <row r="19" spans="1:11">
      <c r="K19" s="20">
        <v>2</v>
      </c>
    </row>
    <row r="20" spans="1:11">
      <c r="K20" s="21">
        <v>1</v>
      </c>
    </row>
  </sheetData>
  <mergeCells count="16">
    <mergeCell ref="C7:D7"/>
    <mergeCell ref="E7:F7"/>
    <mergeCell ref="G7:H7"/>
    <mergeCell ref="C14:D14"/>
    <mergeCell ref="C15:D15"/>
    <mergeCell ref="G8:H8"/>
    <mergeCell ref="G9:H9"/>
    <mergeCell ref="G10:H10"/>
    <mergeCell ref="C17:D17"/>
    <mergeCell ref="C8:D8"/>
    <mergeCell ref="C9:D9"/>
    <mergeCell ref="C10:D10"/>
    <mergeCell ref="E8:F8"/>
    <mergeCell ref="E9:F9"/>
    <mergeCell ref="E10:F10"/>
    <mergeCell ref="C16:D16"/>
  </mergeCells>
  <conditionalFormatting sqref="B14">
    <cfRule type="containsText" dxfId="2" priority="2" operator="containsText" text="Ja">
      <formula>NOT(ISERROR(SEARCH("Ja",B14)))</formula>
    </cfRule>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3"/>
  <dimension ref="B2:J22"/>
  <sheetViews>
    <sheetView topLeftCell="B1" workbookViewId="0">
      <selection activeCell="AD26" sqref="AD26"/>
    </sheetView>
  </sheetViews>
  <sheetFormatPr defaultColWidth="10.83203125" defaultRowHeight="18.5"/>
  <cols>
    <col min="1" max="1" width="10.83203125" style="1"/>
    <col min="2" max="2" width="12.83203125" style="1" customWidth="1"/>
    <col min="3" max="3" width="5" style="1" customWidth="1"/>
    <col min="4" max="4" width="17.1640625" style="1" customWidth="1"/>
    <col min="5" max="5" width="4.6640625" style="1" customWidth="1"/>
    <col min="6" max="6" width="17" style="1" customWidth="1"/>
    <col min="7" max="7" width="3.1640625" style="1" customWidth="1"/>
    <col min="8" max="8" width="10.83203125" style="1"/>
    <col min="9" max="9" width="3.33203125" style="1" customWidth="1"/>
    <col min="10" max="16384" width="10.83203125" style="1"/>
  </cols>
  <sheetData>
    <row r="2" spans="2:10">
      <c r="B2" s="2" t="s">
        <v>0</v>
      </c>
    </row>
    <row r="4" spans="2:10" ht="48.5" customHeight="1">
      <c r="B4" s="2"/>
      <c r="C4" s="2"/>
      <c r="D4" s="2" t="s">
        <v>51</v>
      </c>
      <c r="E4" s="2"/>
      <c r="F4" s="2" t="s">
        <v>52</v>
      </c>
      <c r="H4" s="2"/>
      <c r="J4" s="2"/>
    </row>
    <row r="5" spans="2:10">
      <c r="C5" s="1">
        <v>1</v>
      </c>
      <c r="D5" s="1" t="s">
        <v>53</v>
      </c>
      <c r="E5" s="1">
        <v>1</v>
      </c>
      <c r="F5" s="1" t="s">
        <v>66</v>
      </c>
    </row>
    <row r="6" spans="2:10">
      <c r="C6" s="1">
        <v>2</v>
      </c>
      <c r="D6" s="1" t="s">
        <v>60</v>
      </c>
      <c r="E6" s="1">
        <v>2</v>
      </c>
      <c r="F6" s="34" t="s">
        <v>65</v>
      </c>
    </row>
    <row r="7" spans="2:10">
      <c r="C7" s="1">
        <v>3</v>
      </c>
      <c r="D7" s="1" t="s">
        <v>59</v>
      </c>
      <c r="E7" s="1">
        <v>3</v>
      </c>
      <c r="F7" s="34" t="s">
        <v>71</v>
      </c>
    </row>
    <row r="8" spans="2:10">
      <c r="C8" s="1">
        <v>4</v>
      </c>
      <c r="D8" s="1" t="s">
        <v>58</v>
      </c>
      <c r="E8" s="1">
        <v>4</v>
      </c>
      <c r="F8" s="34" t="s">
        <v>54</v>
      </c>
    </row>
    <row r="22" spans="6:8">
      <c r="F22" s="2"/>
      <c r="H22" s="2"/>
    </row>
  </sheetData>
  <conditionalFormatting sqref="B6">
    <cfRule type="containsText" dxfId="1" priority="2" operator="containsText" text="Ja">
      <formula>NOT(ISERROR(SEARCH("Ja",B6)))</formula>
    </cfRule>
  </conditionalFormatting>
  <conditionalFormatting sqref="F24">
    <cfRule type="containsText" dxfId="0" priority="1" operator="containsText" text="Ja">
      <formula>NOT(ISERROR(SEARCH("Ja",F24)))</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4D41-F2D3-4E6F-95AB-053E56A026B4}">
  <dimension ref="A2:A12"/>
  <sheetViews>
    <sheetView workbookViewId="0">
      <selection activeCell="F17" sqref="F17"/>
    </sheetView>
  </sheetViews>
  <sheetFormatPr defaultRowHeight="15.5"/>
  <cols>
    <col min="1" max="1" width="11.9140625" customWidth="1"/>
  </cols>
  <sheetData>
    <row r="2" spans="1:1" ht="18.5">
      <c r="A2" s="2" t="s">
        <v>140</v>
      </c>
    </row>
    <row r="4" spans="1:1">
      <c r="A4" t="s">
        <v>141</v>
      </c>
    </row>
    <row r="6" spans="1:1">
      <c r="A6" t="s">
        <v>142</v>
      </c>
    </row>
    <row r="8" spans="1:1">
      <c r="A8" t="s">
        <v>143</v>
      </c>
    </row>
    <row r="9" spans="1:1">
      <c r="A9" t="s">
        <v>144</v>
      </c>
    </row>
    <row r="11" spans="1:1">
      <c r="A11" t="s">
        <v>145</v>
      </c>
    </row>
    <row r="12" spans="1:1">
      <c r="A12" t="s">
        <v>146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A99E86E3941945A234375200FE3F4C" ma:contentTypeVersion="11" ma:contentTypeDescription="Create a new document." ma:contentTypeScope="" ma:versionID="91a0901c31ee2a9707487ee5a6622597">
  <xsd:schema xmlns:xsd="http://www.w3.org/2001/XMLSchema" xmlns:xs="http://www.w3.org/2001/XMLSchema" xmlns:p="http://schemas.microsoft.com/office/2006/metadata/properties" xmlns:ns2="99d21a34-e7ae-4e9c-84b6-6a2dfc5099e9" targetNamespace="http://schemas.microsoft.com/office/2006/metadata/properties" ma:root="true" ma:fieldsID="199eda0f697354c0b39f10e72f72cb3c" ns2:_="">
    <xsd:import namespace="99d21a34-e7ae-4e9c-84b6-6a2dfc5099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d21a34-e7ae-4e9c-84b6-6a2dfc509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fd87c23-3b26-4c21-8b68-2b72671138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9d21a34-e7ae-4e9c-84b6-6a2dfc5099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DE4F4F-0D41-4D20-8A05-DE01712E4302}"/>
</file>

<file path=customXml/itemProps2.xml><?xml version="1.0" encoding="utf-8"?>
<ds:datastoreItem xmlns:ds="http://schemas.openxmlformats.org/officeDocument/2006/customXml" ds:itemID="{1B7DA3CF-8BDA-4A20-86CC-56C89842DDE5}">
  <ds:schemaRefs>
    <ds:schemaRef ds:uri="http://schemas.microsoft.com/sharepoint/v3/contenttype/forms"/>
  </ds:schemaRefs>
</ds:datastoreItem>
</file>

<file path=customXml/itemProps3.xml><?xml version="1.0" encoding="utf-8"?>
<ds:datastoreItem xmlns:ds="http://schemas.openxmlformats.org/officeDocument/2006/customXml" ds:itemID="{3FF3C1ED-2C92-4A26-AED3-E78B6E6FCEFD}">
  <ds:schemaRefs>
    <ds:schemaRef ds:uri="http://purl.org/dc/elements/1.1/"/>
    <ds:schemaRef ds:uri="http://schemas.microsoft.com/office/2006/metadata/properties"/>
    <ds:schemaRef ds:uri="94da96c5-e677-46fc-9951-f0dd38538401"/>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6</vt:i4>
      </vt:variant>
    </vt:vector>
  </HeadingPairs>
  <TitlesOfParts>
    <vt:vector size="6" baseType="lpstr">
      <vt:lpstr>0 Manual</vt:lpstr>
      <vt:lpstr>Studentdata</vt:lpstr>
      <vt:lpstr>Riskregister</vt:lpstr>
      <vt:lpstr>Risknivåer</vt:lpstr>
      <vt:lpstr>Data</vt:lpstr>
      <vt:lpstr>Referenslista</vt:lpstr>
    </vt:vector>
  </TitlesOfParts>
  <Company>Visente Information Security 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Office-användare</dc:creator>
  <cp:lastModifiedBy>Mary Tecle</cp:lastModifiedBy>
  <cp:lastPrinted>2021-11-02T12:23:09Z</cp:lastPrinted>
  <dcterms:created xsi:type="dcterms:W3CDTF">2016-11-10T13:42:25Z</dcterms:created>
  <dcterms:modified xsi:type="dcterms:W3CDTF">2026-10-06T09:32:38Z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0x010100E1A99E86E3941945A234375200FE3F4C</vt:lpwstr>
  </property>
  <property fmtid="{D5CDD505-2E9C-101B-9397-08002B2CF9AE}" pid="3" name="MSB_SiteBusinessProcess">
    <vt:lpwstr>1;#Standard|42db7290-f92b-446b-999c-1bee6d848af0</vt:lpwstr>
  </property>
  <property fmtid="{D5CDD505-2E9C-101B-9397-08002B2CF9AE}" pid="4" name="MSB_DocumentType">
    <vt:lpwstr/>
  </property>
</Properties>
</file>