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 Manual" sheetId="1" r:id="rId5"/>
    <sheet state="visible" name="Studentdata" sheetId="2" r:id="rId6"/>
    <sheet state="visible" name="Riskregister" sheetId="3" r:id="rId7"/>
    <sheet state="visible" name="Risknivåer" sheetId="4" r:id="rId8"/>
    <sheet state="visible" name="Data" sheetId="5" r:id="rId9"/>
  </sheets>
  <definedNames>
    <definedName hidden="1" localSheetId="2" name="Z_B90CCB74_3B1C_41F5_82A4_71BC99E2D6DF_.wvu.FilterData">Riskregister!$A$5:$L$55</definedName>
    <definedName hidden="1" localSheetId="1" name="Z_53BB6CB1_D8F5_4367_9336_0FB7499EB2BD_.wvu.FilterData">Studentdata!$B$2:$C$3</definedName>
  </definedNames>
  <calcPr/>
  <customWorkbookViews>
    <customWorkbookView activeSheetId="0" maximized="1" windowHeight="0" windowWidth="0" guid="{B90CCB74-3B1C-41F5-82A4-71BC99E2D6DF}" name="Tabell1 filter view"/>
    <customWorkbookView activeSheetId="0" maximized="1" windowHeight="0" windowWidth="0" guid="{53BB6CB1-D8F5-4367-9336-0FB7499EB2BD}" name="Tabell3 filter view"/>
  </customWorkbookViews>
</workbook>
</file>

<file path=xl/sharedStrings.xml><?xml version="1.0" encoding="utf-8"?>
<sst xmlns="http://schemas.openxmlformats.org/spreadsheetml/2006/main" count="167" uniqueCount="146">
  <si>
    <t>Namn</t>
  </si>
  <si>
    <t>LiU-ID</t>
  </si>
  <si>
    <t>Lucas Frykman</t>
  </si>
  <si>
    <t>lucfr079</t>
  </si>
  <si>
    <t>Analys Risk - Riskregister</t>
  </si>
  <si>
    <t>Sannolikhet</t>
  </si>
  <si>
    <t>Konsekvens</t>
  </si>
  <si>
    <t>ID</t>
  </si>
  <si>
    <t>Tillgång</t>
  </si>
  <si>
    <t>Egenskap (CIA/STRIDE)</t>
  </si>
  <si>
    <t>Riskscenario</t>
  </si>
  <si>
    <t>Orsaksbeskrivning</t>
  </si>
  <si>
    <t>Konsekvensbeskrivning</t>
  </si>
  <si>
    <t>Värde S 1-4</t>
  </si>
  <si>
    <t>Sannolikhetsnivå</t>
  </si>
  <si>
    <t>Värde K 1-4</t>
  </si>
  <si>
    <t>Konsekvensnivå</t>
  </si>
  <si>
    <t>Risknivå</t>
  </si>
  <si>
    <t>Kommentar</t>
  </si>
  <si>
    <t>Risk-001</t>
  </si>
  <si>
    <t>Molntjänst</t>
  </si>
  <si>
    <t>Tillgänglighet</t>
  </si>
  <si>
    <t>En överbelastnings attack (DDoS) mot molntjänsten gör att systemet blir otillgängligt</t>
  </si>
  <si>
    <t>otillräckligt DDoSskydd och avsaknad av rate limiting</t>
  </si>
  <si>
    <t>Kunder kan inte lägga ordrar och personal kan inte hantera kundärenden</t>
  </si>
  <si>
    <t>Risk-002</t>
  </si>
  <si>
    <t>Databas</t>
  </si>
  <si>
    <t>Konfidentialitet</t>
  </si>
  <si>
    <t>Obehöriga kommer åt kund och orderdata i databasen</t>
  </si>
  <si>
    <t>Svaga åtkomstkontroller (som t.ex standardlösenord) och okrypterad lagring</t>
  </si>
  <si>
    <t>Integritetsintrång för kunder och eventuellt vite enligt GDPR</t>
  </si>
  <si>
    <t>Risk-003</t>
  </si>
  <si>
    <t>Kundhantering</t>
  </si>
  <si>
    <t>Riktighet</t>
  </si>
  <si>
    <t>En anställd av misstag eller medvetet ändrar fakturauppgifter innan de skickas</t>
  </si>
  <si>
    <t>bristfällig loggning och avsaknad av granskning vid ändring av känsliga fält</t>
  </si>
  <si>
    <t>Felaktiga fakturor skickas vilket leder till ekonomisk förlust och minskat förtroende.</t>
  </si>
  <si>
    <t>Risk-004</t>
  </si>
  <si>
    <t>Ransomware krypterar databasen vilket gör data obrukbar och kräver lösensumma</t>
  </si>
  <si>
    <t>Brist på offline-backuper och dåligt uppdaterat skydd mot skadlig kod</t>
  </si>
  <si>
    <t>Totalförlust av orderhistorik och kunddata för en tid framåt</t>
  </si>
  <si>
    <t>Risk-005</t>
  </si>
  <si>
    <t>Systemadministratör</t>
  </si>
  <si>
    <t>Admin kontot kapas via ett phishing-mejl.</t>
  </si>
  <si>
    <t>avsaknad av multifaktorautentisering för administrativa konton.</t>
  </si>
  <si>
    <t>Full kontroll över systemet...kan leda till storskalig datastöld</t>
  </si>
  <si>
    <t>Risk-006</t>
  </si>
  <si>
    <t>Extern enhet</t>
  </si>
  <si>
    <t>en obehörig enhet utger sig för att vara en legitim mobil enhet och skickar in falska ordrar</t>
  </si>
  <si>
    <t>Svag enhetsautentisering (tex endast lösenord utan certifikat)</t>
  </si>
  <si>
    <t>felaktiga leveranser och kostnader för att hantera falska beställningar</t>
  </si>
  <si>
    <t>Risk-007</t>
  </si>
  <si>
    <t>Kontorsenhet</t>
  </si>
  <si>
    <t>En stulen kontorsdator används för att komma åt affärssystemet</t>
  </si>
  <si>
    <t>Datorn saknar diskkryptering och har långa sessions-timeouts.</t>
  </si>
  <si>
    <t>Risk för läckage av företagshemligheter och kunddata.</t>
  </si>
  <si>
    <t>Risk-008</t>
  </si>
  <si>
    <t>En uppdatering av kundhanteringsprocessen innehåller en bugg som kraschar systemet</t>
  </si>
  <si>
    <t>Bristande testning innan lansering (t.ex: dålig CI/CD-pipeline)</t>
  </si>
  <si>
    <t>Kortvarigt driftavbrott tills systemet rullas tillbaka.</t>
  </si>
  <si>
    <t>Risk-009</t>
  </si>
  <si>
    <t>Hårdvarufel på databasservern gör att data inte kan nås</t>
  </si>
  <si>
    <t>Avsaknad av hårdvaruredundans och långsam återställningsprocess</t>
  </si>
  <si>
    <t>Verksamhetsavbrott och risk för dataförlust om backup ej är aktuell</t>
  </si>
  <si>
    <t>Risk-010</t>
  </si>
  <si>
    <t>felkonfiguration i molntjänsten avslöjer interna API öppet</t>
  </si>
  <si>
    <t>Manuella konfigurationsändringar utan granskning (Infrastructure as Code används ej)</t>
  </si>
  <si>
    <t>Ökad risk för obehörig åtkomst eller manipulation av data.</t>
  </si>
  <si>
    <t>Risk-011</t>
  </si>
  <si>
    <t>Risk-012</t>
  </si>
  <si>
    <t>Risk-013</t>
  </si>
  <si>
    <t>Risk-014</t>
  </si>
  <si>
    <t>Risk-015</t>
  </si>
  <si>
    <t>Risk-016</t>
  </si>
  <si>
    <t>Risk-017</t>
  </si>
  <si>
    <t>Risk-018</t>
  </si>
  <si>
    <t>Risk-019</t>
  </si>
  <si>
    <t>Risk-020</t>
  </si>
  <si>
    <t>Risk-021</t>
  </si>
  <si>
    <t>Risk-022</t>
  </si>
  <si>
    <t>Risk-023</t>
  </si>
  <si>
    <t>Risk-024</t>
  </si>
  <si>
    <t>Risk-025</t>
  </si>
  <si>
    <t>Risk-026</t>
  </si>
  <si>
    <t>Risk-027</t>
  </si>
  <si>
    <t>Risk-028</t>
  </si>
  <si>
    <t>Risk-029</t>
  </si>
  <si>
    <t>Risk-030</t>
  </si>
  <si>
    <t>Risk-031</t>
  </si>
  <si>
    <t>Risk-032</t>
  </si>
  <si>
    <t>Risk-033</t>
  </si>
  <si>
    <t>Risk-034</t>
  </si>
  <si>
    <t>Risk-035</t>
  </si>
  <si>
    <t>Risk-036</t>
  </si>
  <si>
    <t>Risk-037</t>
  </si>
  <si>
    <t>Risk-038</t>
  </si>
  <si>
    <t>Risk-039</t>
  </si>
  <si>
    <t>Risk-040</t>
  </si>
  <si>
    <t>Risk-041</t>
  </si>
  <si>
    <t>Risk-042</t>
  </si>
  <si>
    <t>Risk-043</t>
  </si>
  <si>
    <t>Risk-044</t>
  </si>
  <si>
    <t>Risk-045</t>
  </si>
  <si>
    <t>Risk-046</t>
  </si>
  <si>
    <t>Risk-047</t>
  </si>
  <si>
    <t>Risk-048</t>
  </si>
  <si>
    <t>Risk-049</t>
  </si>
  <si>
    <t>Risk-050</t>
  </si>
  <si>
    <t>Risknivåer</t>
  </si>
  <si>
    <t>Konsekvensnivåer</t>
  </si>
  <si>
    <t>Riskmatris</t>
  </si>
  <si>
    <t>Ekonomisk förlust</t>
  </si>
  <si>
    <t>Minskat förtroende</t>
  </si>
  <si>
    <t>Avbrott i verksamheten</t>
  </si>
  <si>
    <t>Bristande regelefterlevnad</t>
  </si>
  <si>
    <t>Allvarlig</t>
  </si>
  <si>
    <t>&gt; 1 000 000 kr</t>
  </si>
  <si>
    <t>Mycket stort</t>
  </si>
  <si>
    <t>&gt; 1 vecka</t>
  </si>
  <si>
    <t>Lagbrott</t>
  </si>
  <si>
    <t>Betydande</t>
  </si>
  <si>
    <t>&gt; 100 000 kr</t>
  </si>
  <si>
    <t>Stort</t>
  </si>
  <si>
    <t>&gt; 1 dag</t>
  </si>
  <si>
    <t>Allvarlig avvikelse</t>
  </si>
  <si>
    <t>Måttlig</t>
  </si>
  <si>
    <t>&gt; 10 000 kr</t>
  </si>
  <si>
    <t>Måttligt</t>
  </si>
  <si>
    <t>&gt; 1 timme</t>
  </si>
  <si>
    <t>Mindre avvikelse</t>
  </si>
  <si>
    <t>Försumbar</t>
  </si>
  <si>
    <t>&lt; 10 000 kr</t>
  </si>
  <si>
    <t>Litet/Inget</t>
  </si>
  <si>
    <t>&lt; 1 timme</t>
  </si>
  <si>
    <t>Ingen avvikelse</t>
  </si>
  <si>
    <t>Sannolikhetsnivåer</t>
  </si>
  <si>
    <t>Mycket hög</t>
  </si>
  <si>
    <t>&gt; 1 gång per månad</t>
  </si>
  <si>
    <t>Hög</t>
  </si>
  <si>
    <t>1 gång per år</t>
  </si>
  <si>
    <t>Medelhög</t>
  </si>
  <si>
    <t>1 gång per 5 år</t>
  </si>
  <si>
    <t>Låg</t>
  </si>
  <si>
    <t>&lt; 1 gång per 10 år</t>
  </si>
  <si>
    <t>Detta ark används av Excel för att hämta uppgifter som används i de andra kalkylarken. Normalt sett behöver ni inte ändra här.</t>
  </si>
  <si>
    <t xml:space="preserve">Betydande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</si>
</sst>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\ 00"/>
    <numFmt numFmtId="165" formatCode="D/M/YYYY"/>
  </numFmts>
  <fonts count="12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rgb="FFFFFFFF"/>
      <name val="Calibri"/>
    </font>
    <font>
      <color theme="1"/>
      <name val="Calibri"/>
    </font>
    <font>
      <sz val="14.0"/>
      <color theme="1"/>
      <name val="Calibri"/>
    </font>
    <font>
      <sz val="26.0"/>
      <color theme="1"/>
      <name val="Calibri"/>
    </font>
    <font>
      <sz val="16.0"/>
      <color theme="1"/>
      <name val="Calibri"/>
    </font>
    <font>
      <b/>
      <sz val="14.0"/>
      <color theme="1"/>
      <name val="Calibri"/>
    </font>
    <font/>
    <font>
      <sz val="14.0"/>
      <color rgb="FFFFFFFF"/>
      <name val="Calibri"/>
    </font>
    <font>
      <sz val="12.0"/>
      <color theme="0"/>
      <name val="Calibri"/>
    </font>
    <font>
      <i/>
      <sz val="1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FF2CB"/>
        <bgColor rgb="FFFFF2CB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theme="0"/>
      </left>
      <right/>
      <top/>
      <bottom style="medium">
        <color theme="0"/>
      </bottom>
    </border>
    <border>
      <left/>
      <right style="medium">
        <color theme="0"/>
      </right>
      <top/>
      <bottom style="medium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49" xfId="0" applyAlignment="1" applyFont="1" applyNumberForma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0" xfId="0" applyFont="1"/>
    <xf borderId="0" fillId="0" fontId="5" numFmtId="49" xfId="0" applyAlignment="1" applyFont="1" applyNumberFormat="1">
      <alignment horizontal="left" vertical="top"/>
    </xf>
    <xf borderId="0" fillId="0" fontId="6" numFmtId="49" xfId="0" applyAlignment="1" applyFont="1" applyNumberFormat="1">
      <alignment horizontal="left" shrinkToFit="0" vertical="top" wrapText="1"/>
    </xf>
    <xf borderId="0" fillId="0" fontId="4" numFmtId="1" xfId="0" applyAlignment="1" applyFont="1" applyNumberFormat="1">
      <alignment horizontal="left" vertical="top"/>
    </xf>
    <xf borderId="1" fillId="0" fontId="7" numFmtId="49" xfId="0" applyAlignment="1" applyBorder="1" applyFont="1" applyNumberFormat="1">
      <alignment horizontal="center" shrinkToFit="0" vertical="top" wrapText="1"/>
    </xf>
    <xf borderId="2" fillId="0" fontId="8" numFmtId="0" xfId="0" applyBorder="1" applyFont="1"/>
    <xf borderId="3" fillId="2" fontId="9" numFmtId="49" xfId="0" applyAlignment="1" applyBorder="1" applyFill="1" applyFont="1" applyNumberFormat="1">
      <alignment horizontal="left" readingOrder="0" shrinkToFit="0" vertical="top" wrapText="1"/>
    </xf>
    <xf borderId="4" fillId="2" fontId="9" numFmtId="49" xfId="0" applyAlignment="1" applyBorder="1" applyFill="1" applyFont="1" applyNumberFormat="1">
      <alignment horizontal="left" readingOrder="0" shrinkToFit="0" vertical="top" wrapText="1"/>
    </xf>
    <xf borderId="5" fillId="2" fontId="9" numFmtId="49" xfId="0" applyAlignment="1" applyBorder="1" applyFill="1" applyFont="1" applyNumberFormat="1">
      <alignment horizontal="left" readingOrder="0" shrinkToFit="0" vertical="top" wrapText="1"/>
    </xf>
    <xf borderId="3" fillId="2" fontId="9" numFmtId="49" xfId="0" applyAlignment="1" applyBorder="1" applyFill="1" applyFont="1" applyNumberFormat="1">
      <alignment horizontal="left" readingOrder="0" shrinkToFit="0" vertical="top" wrapText="0"/>
    </xf>
    <xf borderId="3" fillId="3" fontId="4" numFmtId="49" xfId="0" applyAlignment="1" applyBorder="1" applyFill="1" applyFont="1" applyNumberFormat="1">
      <alignment horizontal="left" shrinkToFit="0" vertical="top" wrapText="1"/>
    </xf>
    <xf borderId="3" fillId="3" fontId="4" numFmtId="49" xfId="0" applyAlignment="1" applyBorder="1" applyFill="1" applyFont="1" applyNumberFormat="1">
      <alignment horizontal="left" readingOrder="0" shrinkToFit="0" vertical="top" wrapText="1"/>
    </xf>
    <xf borderId="3" fillId="3" fontId="1" numFmtId="1" xfId="0" applyAlignment="1" applyBorder="1" applyFill="1" applyFont="1" applyNumberFormat="1">
      <alignment horizontal="center" shrinkToFit="0" vertical="top" wrapText="1"/>
    </xf>
    <xf borderId="3" fillId="3" fontId="1" numFmtId="0" xfId="0" applyAlignment="1" applyBorder="1" applyFill="1" applyFont="1">
      <alignment horizontal="left" shrinkToFit="0" vertical="top" wrapText="1"/>
    </xf>
    <xf borderId="3" fillId="3" fontId="4" numFmtId="0" xfId="0" applyAlignment="1" applyBorder="1" applyFill="1" applyFont="1">
      <alignment horizontal="left" shrinkToFit="0" vertical="top" wrapText="1"/>
    </xf>
    <xf borderId="3" fillId="3" fontId="7" numFmtId="1" xfId="0" applyAlignment="1" applyBorder="1" applyFill="1" applyFont="1" applyNumberFormat="1">
      <alignment horizontal="center" shrinkToFit="0" vertical="top" wrapText="0"/>
    </xf>
    <xf borderId="3" fillId="3" fontId="4" numFmtId="164" xfId="0" applyAlignment="1" applyBorder="1" applyFill="1" applyFont="1" applyNumberFormat="1">
      <alignment horizontal="left" readingOrder="0" shrinkToFit="0" vertical="top" wrapText="1"/>
    </xf>
    <xf borderId="3" fillId="3" fontId="4" numFmtId="1" xfId="0" applyAlignment="1" applyBorder="1" applyFill="1" applyFont="1" applyNumberFormat="1">
      <alignment horizontal="center" shrinkToFit="0" vertical="top" wrapText="1"/>
    </xf>
    <xf borderId="0" fillId="0" fontId="4" numFmtId="165" xfId="0" applyFont="1" applyNumberFormat="1"/>
    <xf borderId="0" fillId="0" fontId="10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Font="1"/>
    <xf borderId="0" fillId="0" fontId="3" numFmtId="0" xfId="0" applyFont="1"/>
    <xf borderId="0" fillId="0" fontId="7" numFmtId="0" xfId="0" applyFont="1"/>
    <xf borderId="6" fillId="4" fontId="1" numFmtId="0" xfId="0" applyBorder="1" applyFill="1" applyFont="1"/>
    <xf borderId="6" fillId="5" fontId="10" numFmtId="0" xfId="0" applyBorder="1" applyFill="1" applyFont="1"/>
    <xf borderId="6" fillId="6" fontId="10" numFmtId="0" xfId="0" applyBorder="1" applyFill="1" applyFont="1"/>
    <xf borderId="6" fillId="7" fontId="10" numFmtId="0" xfId="0" applyBorder="1" applyFill="1" applyFont="1"/>
    <xf borderId="3" fillId="8" fontId="1" numFmtId="0" xfId="0" applyBorder="1" applyFill="1" applyFont="1"/>
    <xf borderId="0" fillId="0" fontId="11" numFmtId="0" xfId="0" applyAlignment="1" applyFont="1">
      <alignment horizontal="left" shrinkToFit="0" wrapText="1"/>
    </xf>
    <xf borderId="0" fillId="0" fontId="11" numFmtId="0" xfId="0" applyFont="1"/>
    <xf borderId="6" fillId="9" fontId="1" numFmtId="0" xfId="0" applyBorder="1" applyFill="1" applyFont="1"/>
    <xf borderId="3" fillId="9" fontId="1" numFmtId="0" xfId="0" applyBorder="1" applyFill="1" applyFont="1"/>
    <xf borderId="6" fillId="10" fontId="1" numFmtId="0" xfId="0" applyBorder="1" applyFill="1" applyFont="1"/>
    <xf borderId="3" fillId="10" fontId="1" numFmtId="0" xfId="0" applyBorder="1" applyFill="1" applyFont="1"/>
    <xf borderId="6" fillId="11" fontId="1" numFmtId="0" xfId="0" applyBorder="1" applyFill="1" applyFont="1"/>
    <xf borderId="3" fillId="11" fontId="1" numFmtId="0" xfId="0" applyBorder="1" applyFill="1" applyFont="1"/>
    <xf borderId="0" fillId="0" fontId="11" numFmtId="0" xfId="0" applyAlignment="1" applyFont="1">
      <alignment horizontal="left"/>
    </xf>
    <xf borderId="3" fillId="7" fontId="10" numFmtId="0" xfId="0" applyAlignment="1" applyBorder="1" applyFill="1" applyFont="1">
      <alignment horizontal="center"/>
    </xf>
    <xf borderId="3" fillId="6" fontId="10" numFmtId="0" xfId="0" applyAlignment="1" applyBorder="1" applyFill="1" applyFont="1">
      <alignment horizontal="center"/>
    </xf>
    <xf borderId="3" fillId="5" fontId="10" numFmtId="0" xfId="0" applyAlignment="1" applyBorder="1" applyFill="1" applyFont="1">
      <alignment horizontal="center"/>
    </xf>
    <xf borderId="3" fillId="8" fontId="1" numFmtId="0" xfId="0" applyAlignment="1" applyBorder="1" applyFill="1" applyFont="1">
      <alignment horizontal="center"/>
    </xf>
    <xf borderId="3" fillId="9" fontId="1" numFmtId="0" xfId="0" applyAlignment="1" applyBorder="1" applyFill="1" applyFont="1">
      <alignment horizontal="center"/>
    </xf>
    <xf borderId="3" fillId="10" fontId="1" numFmtId="0" xfId="0" applyAlignment="1" applyBorder="1" applyFill="1" applyFont="1">
      <alignment horizontal="center"/>
    </xf>
    <xf borderId="3" fillId="11" fontId="1" numFmtId="0" xfId="0" applyAlignment="1" applyBorder="1" applyFill="1" applyFont="1">
      <alignment horizontal="center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FFF2CB"/>
          <bgColor rgb="FFFFF2CB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  <tableStyles count="2">
    <tableStyle count="4" pivot="0" name="Studentdata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Riskregister-style">
      <tableStyleElement dxfId="1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3" displayName="Tabell3" name="Tabell3" id="1">
  <tableColumns count="2">
    <tableColumn name="Namn" id="1"/>
    <tableColumn name="LiU-ID" id="2"/>
  </tableColumns>
  <tableStyleInfo name="Studentdata-style" showColumnStripes="0" showFirstColumn="1" showLastColumn="1" showRowStripes="1"/>
</table>
</file>

<file path=xl/tables/table2.xml><?xml version="1.0" encoding="utf-8"?>
<table xmlns="http://schemas.openxmlformats.org/spreadsheetml/2006/main" ref="A5:L55" displayName="Tabell1" name="Tabell1" id="2">
  <tableColumns count="12">
    <tableColumn name="ID" id="1"/>
    <tableColumn name="Tillgång" id="2"/>
    <tableColumn name="Egenskap (CIA/STRIDE)" id="3"/>
    <tableColumn name="Riskscenario" id="4"/>
    <tableColumn name="Orsaksbeskrivning" id="5"/>
    <tableColumn name="Konsekvensbeskrivning" id="6"/>
    <tableColumn name="Värde S 1-4" id="7"/>
    <tableColumn name="Sannolikhetsnivå" id="8"/>
    <tableColumn name="Värde K 1-4" id="9"/>
    <tableColumn name="Konsekvensnivå" id="10"/>
    <tableColumn name="Risknivå" id="11"/>
    <tableColumn name="Kommentar" id="12"/>
  </tableColumns>
  <tableStyleInfo name="Risk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8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5.11"/>
    <col customWidth="1" min="3" max="3" width="25.78"/>
    <col customWidth="1" min="4" max="6" width="10.56"/>
  </cols>
  <sheetData>
    <row r="1" ht="15.75" customHeight="1">
      <c r="B1" s="1"/>
      <c r="C1" s="1"/>
    </row>
    <row r="2" ht="21.0" customHeight="1">
      <c r="B2" s="2" t="s">
        <v>0</v>
      </c>
      <c r="C2" s="2" t="s">
        <v>1</v>
      </c>
    </row>
    <row r="3" ht="24.75" customHeight="1">
      <c r="B3" s="3" t="s">
        <v>2</v>
      </c>
      <c r="C3" s="3" t="s">
        <v>3</v>
      </c>
    </row>
    <row r="4" ht="15.75" customHeight="1">
      <c r="B4" s="1"/>
      <c r="C4" s="1"/>
    </row>
    <row r="5" ht="15.75" customHeight="1">
      <c r="B5" s="1"/>
      <c r="C5" s="1"/>
    </row>
    <row r="6" ht="15.75" customHeight="1">
      <c r="B6" s="1"/>
      <c r="C6" s="1"/>
    </row>
    <row r="7" ht="15.75" customHeight="1">
      <c r="B7" s="1"/>
      <c r="C7" s="1"/>
    </row>
    <row r="8" ht="15.75" customHeight="1">
      <c r="B8" s="1"/>
      <c r="C8" s="1"/>
    </row>
    <row r="9" ht="15.75" customHeight="1">
      <c r="B9" s="1"/>
      <c r="C9" s="1"/>
    </row>
    <row r="10" ht="15.75" customHeight="1">
      <c r="B10" s="1"/>
      <c r="C10" s="1"/>
    </row>
    <row r="11" ht="15.75" customHeight="1">
      <c r="B11" s="1"/>
      <c r="C11" s="1"/>
    </row>
    <row r="12" ht="15.75" customHeight="1">
      <c r="B12" s="1"/>
      <c r="C12" s="1"/>
    </row>
    <row r="13" ht="15.75" customHeight="1">
      <c r="B13" s="1"/>
      <c r="C13" s="1"/>
    </row>
    <row r="14" ht="15.75" customHeight="1">
      <c r="B14" s="1"/>
      <c r="C14" s="1"/>
    </row>
    <row r="15" ht="15.75" customHeight="1">
      <c r="B15" s="1"/>
      <c r="C15" s="1"/>
    </row>
    <row r="16" ht="15.75" customHeight="1">
      <c r="B16" s="1"/>
      <c r="C16" s="1"/>
    </row>
    <row r="17" ht="15.75" customHeight="1">
      <c r="B17" s="1"/>
      <c r="C17" s="1"/>
    </row>
    <row r="18" ht="15.75" customHeight="1">
      <c r="B18" s="1"/>
      <c r="C18" s="1"/>
    </row>
    <row r="19" ht="15.75" customHeight="1">
      <c r="B19" s="1"/>
      <c r="C19" s="1"/>
    </row>
    <row r="20" ht="15.75" customHeight="1">
      <c r="B20" s="1"/>
      <c r="C20" s="1"/>
    </row>
    <row r="21" ht="15.75" customHeight="1">
      <c r="B21" s="1"/>
      <c r="C21" s="1"/>
    </row>
    <row r="22" ht="15.75" customHeight="1">
      <c r="B22" s="1"/>
      <c r="C22" s="1"/>
    </row>
    <row r="23" ht="15.75" customHeight="1">
      <c r="B23" s="1"/>
      <c r="C23" s="1"/>
    </row>
    <row r="24" ht="15.75" customHeight="1">
      <c r="B24" s="1"/>
      <c r="C24" s="1"/>
    </row>
    <row r="25" ht="15.75" customHeight="1">
      <c r="B25" s="1"/>
      <c r="C25" s="1"/>
    </row>
    <row r="26" ht="15.75" customHeight="1">
      <c r="B26" s="1"/>
      <c r="C26" s="1"/>
    </row>
    <row r="27" ht="15.75" customHeight="1">
      <c r="B27" s="1"/>
      <c r="C27" s="1"/>
    </row>
    <row r="28" ht="15.75" customHeight="1">
      <c r="B28" s="1"/>
      <c r="C28" s="1"/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3BB6CB1-D8F5-4367-9336-0FB7499EB2BD}" filter="1" showAutoFilter="1">
      <autoFilter ref="$B$2:$C$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67"/>
    <col customWidth="1" min="2" max="3" width="20.0"/>
    <col customWidth="1" min="4" max="4" width="24.78"/>
    <col customWidth="1" min="5" max="5" width="24.0"/>
    <col customWidth="1" min="6" max="6" width="28.0"/>
    <col customWidth="1" min="7" max="7" width="16.67"/>
    <col customWidth="1" min="8" max="8" width="21.11"/>
    <col customWidth="1" min="9" max="9" width="16.11"/>
    <col customWidth="1" min="10" max="10" width="20.11"/>
    <col customWidth="1" min="11" max="11" width="14.78"/>
    <col customWidth="1" min="12" max="12" width="26.44"/>
    <col customWidth="1" min="13" max="13" width="10.78"/>
    <col customWidth="1" min="14" max="14" width="12.0"/>
    <col customWidth="1" min="15" max="26" width="10.78"/>
  </cols>
  <sheetData>
    <row r="1" ht="18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6.0" customHeight="1">
      <c r="A2" s="7" t="s">
        <v>4</v>
      </c>
      <c r="B2" s="7"/>
      <c r="C2" s="7"/>
      <c r="D2" s="7"/>
      <c r="E2" s="4"/>
      <c r="F2" s="8"/>
      <c r="G2" s="8"/>
      <c r="H2" s="8"/>
      <c r="I2" s="8"/>
      <c r="J2" s="8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9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4"/>
      <c r="B4" s="4"/>
      <c r="C4" s="4"/>
      <c r="D4" s="4"/>
      <c r="E4" s="4"/>
      <c r="F4" s="4"/>
      <c r="G4" s="10" t="s">
        <v>5</v>
      </c>
      <c r="H4" s="11"/>
      <c r="I4" s="10" t="s">
        <v>6</v>
      </c>
      <c r="J4" s="11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0.5" customHeight="1">
      <c r="A5" s="12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3" t="s">
        <v>13</v>
      </c>
      <c r="H5" s="14" t="s">
        <v>14</v>
      </c>
      <c r="I5" s="13" t="s">
        <v>15</v>
      </c>
      <c r="J5" s="14" t="s">
        <v>16</v>
      </c>
      <c r="K5" s="15" t="s">
        <v>17</v>
      </c>
      <c r="L5" s="15" t="s">
        <v>18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6" t="s">
        <v>19</v>
      </c>
      <c r="B6" s="16" t="s">
        <v>20</v>
      </c>
      <c r="C6" s="16" t="s">
        <v>21</v>
      </c>
      <c r="D6" s="17" t="s">
        <v>22</v>
      </c>
      <c r="E6" s="17" t="s">
        <v>23</v>
      </c>
      <c r="F6" s="17" t="s">
        <v>24</v>
      </c>
      <c r="G6" s="18">
        <v>3.0</v>
      </c>
      <c r="H6" s="19" t="str">
        <f>IF(ISBLANK(G6),"",VLOOKUP(G6,Data!$C$5:$D$8,2))</f>
        <v>Hög</v>
      </c>
      <c r="I6" s="18">
        <v>4.0</v>
      </c>
      <c r="J6" s="20" t="str">
        <f>IF(ISBLANK(I6),"",VLOOKUP(I6,Data!$E$5:$F$8,2))</f>
        <v>Allvarlig</v>
      </c>
      <c r="K6" s="21">
        <f t="shared" ref="K6:K55" si="1">IF(ISBLANK(I6),"",G6+I6-1)</f>
        <v>6</v>
      </c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6" t="s">
        <v>25</v>
      </c>
      <c r="B7" s="16" t="s">
        <v>26</v>
      </c>
      <c r="C7" s="16" t="s">
        <v>27</v>
      </c>
      <c r="D7" s="17" t="s">
        <v>28</v>
      </c>
      <c r="E7" s="17" t="s">
        <v>29</v>
      </c>
      <c r="F7" s="17" t="s">
        <v>30</v>
      </c>
      <c r="G7" s="18">
        <v>2.0</v>
      </c>
      <c r="H7" s="19" t="str">
        <f>IF(ISBLANK(G7),"",VLOOKUP(G7,Data!$C$5:$D$8,2))</f>
        <v>Medelhög</v>
      </c>
      <c r="I7" s="18">
        <v>4.0</v>
      </c>
      <c r="J7" s="20" t="str">
        <f>IF(ISBLANK(I7),"",VLOOKUP(I7,Data!$E$5:$F$8,2))</f>
        <v>Allvarlig</v>
      </c>
      <c r="K7" s="21">
        <f t="shared" si="1"/>
        <v>5</v>
      </c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6" t="s">
        <v>31</v>
      </c>
      <c r="B8" s="16" t="s">
        <v>32</v>
      </c>
      <c r="C8" s="16" t="s">
        <v>33</v>
      </c>
      <c r="D8" s="17" t="s">
        <v>34</v>
      </c>
      <c r="E8" s="17" t="s">
        <v>35</v>
      </c>
      <c r="F8" s="17" t="s">
        <v>36</v>
      </c>
      <c r="G8" s="18">
        <v>3.0</v>
      </c>
      <c r="H8" s="19" t="str">
        <f>IF(ISBLANK(G8),"",VLOOKUP(G8,Data!$C$5:$D$8,2))</f>
        <v>Hög</v>
      </c>
      <c r="I8" s="18">
        <v>3.0</v>
      </c>
      <c r="J8" s="20" t="str">
        <f>IF(ISBLANK(I8),"",VLOOKUP(I8,Data!$E$5:$F$8,2))</f>
        <v>Betydande </v>
      </c>
      <c r="K8" s="21">
        <f t="shared" si="1"/>
        <v>5</v>
      </c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6" t="s">
        <v>37</v>
      </c>
      <c r="B9" s="16" t="s">
        <v>26</v>
      </c>
      <c r="C9" s="16" t="s">
        <v>33</v>
      </c>
      <c r="D9" s="17" t="s">
        <v>38</v>
      </c>
      <c r="E9" s="17" t="s">
        <v>39</v>
      </c>
      <c r="F9" s="17" t="s">
        <v>40</v>
      </c>
      <c r="G9" s="18">
        <v>2.0</v>
      </c>
      <c r="H9" s="19" t="str">
        <f>IF(ISBLANK(G9),"",VLOOKUP(G9,Data!$C$5:$D$8,2))</f>
        <v>Medelhög</v>
      </c>
      <c r="I9" s="18">
        <v>4.0</v>
      </c>
      <c r="J9" s="20" t="str">
        <f>IF(ISBLANK(I9),"",VLOOKUP(I9,Data!$E$5:$F$8,2))</f>
        <v>Allvarlig</v>
      </c>
      <c r="K9" s="21">
        <f t="shared" si="1"/>
        <v>5</v>
      </c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6" t="s">
        <v>41</v>
      </c>
      <c r="B10" s="16" t="s">
        <v>42</v>
      </c>
      <c r="C10" s="16" t="s">
        <v>27</v>
      </c>
      <c r="D10" s="17" t="s">
        <v>43</v>
      </c>
      <c r="E10" s="17" t="s">
        <v>44</v>
      </c>
      <c r="F10" s="17" t="s">
        <v>45</v>
      </c>
      <c r="G10" s="18">
        <v>3.0</v>
      </c>
      <c r="H10" s="19" t="str">
        <f>IF(ISBLANK(G10),"",VLOOKUP(G10,Data!$C$5:$D$8,2))</f>
        <v>Hög</v>
      </c>
      <c r="I10" s="18">
        <v>4.0</v>
      </c>
      <c r="J10" s="20" t="str">
        <f>IF(ISBLANK(I10),"",VLOOKUP(I10,Data!$E$5:$F$8,2))</f>
        <v>Allvarlig</v>
      </c>
      <c r="K10" s="21">
        <f t="shared" si="1"/>
        <v>6</v>
      </c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6" t="s">
        <v>46</v>
      </c>
      <c r="B11" s="16" t="s">
        <v>47</v>
      </c>
      <c r="C11" s="16" t="s">
        <v>33</v>
      </c>
      <c r="D11" s="17" t="s">
        <v>48</v>
      </c>
      <c r="E11" s="17" t="s">
        <v>49</v>
      </c>
      <c r="F11" s="17" t="s">
        <v>50</v>
      </c>
      <c r="G11" s="18">
        <v>2.0</v>
      </c>
      <c r="H11" s="19" t="str">
        <f>IF(ISBLANK(G11),"",VLOOKUP(G11,Data!$C$5:$D$8,2))</f>
        <v>Medelhög</v>
      </c>
      <c r="I11" s="18">
        <v>2.0</v>
      </c>
      <c r="J11" s="20" t="str">
        <f>IF(ISBLANK(I11),"",VLOOKUP(I11,Data!$E$5:$F$8,2))</f>
        <v>Måttlig</v>
      </c>
      <c r="K11" s="21">
        <f t="shared" si="1"/>
        <v>3</v>
      </c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6" t="s">
        <v>51</v>
      </c>
      <c r="B12" s="16" t="s">
        <v>52</v>
      </c>
      <c r="C12" s="16" t="s">
        <v>27</v>
      </c>
      <c r="D12" s="17" t="s">
        <v>53</v>
      </c>
      <c r="E12" s="17" t="s">
        <v>54</v>
      </c>
      <c r="F12" s="16" t="s">
        <v>55</v>
      </c>
      <c r="G12" s="18">
        <v>2.0</v>
      </c>
      <c r="H12" s="19" t="str">
        <f>IF(ISBLANK(G12),"",VLOOKUP(G12,Data!$C$5:$D$8,2))</f>
        <v>Medelhög</v>
      </c>
      <c r="I12" s="18">
        <v>3.0</v>
      </c>
      <c r="J12" s="20" t="str">
        <f>IF(ISBLANK(I12),"",VLOOKUP(I12,Data!$E$5:$F$8,2))</f>
        <v>Betydande </v>
      </c>
      <c r="K12" s="21">
        <f t="shared" si="1"/>
        <v>4</v>
      </c>
      <c r="L12" s="1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6" t="s">
        <v>56</v>
      </c>
      <c r="B13" s="16" t="s">
        <v>32</v>
      </c>
      <c r="C13" s="16" t="s">
        <v>21</v>
      </c>
      <c r="D13" s="17" t="s">
        <v>57</v>
      </c>
      <c r="E13" s="17" t="s">
        <v>58</v>
      </c>
      <c r="F13" s="17" t="s">
        <v>59</v>
      </c>
      <c r="G13" s="18">
        <v>3.0</v>
      </c>
      <c r="H13" s="19" t="str">
        <f>IF(ISBLANK(G13),"",VLOOKUP(G13,Data!$C$5:$D$8,2))</f>
        <v>Hög</v>
      </c>
      <c r="I13" s="18">
        <v>2.0</v>
      </c>
      <c r="J13" s="20" t="str">
        <f>IF(ISBLANK(I13),"",VLOOKUP(I13,Data!$E$5:$F$8,2))</f>
        <v>Måttlig</v>
      </c>
      <c r="K13" s="21">
        <f t="shared" si="1"/>
        <v>4</v>
      </c>
      <c r="L13" s="1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6" t="s">
        <v>60</v>
      </c>
      <c r="B14" s="16" t="s">
        <v>26</v>
      </c>
      <c r="C14" s="16" t="s">
        <v>21</v>
      </c>
      <c r="D14" s="17" t="s">
        <v>61</v>
      </c>
      <c r="E14" s="17" t="s">
        <v>62</v>
      </c>
      <c r="F14" s="22" t="s">
        <v>63</v>
      </c>
      <c r="G14" s="23">
        <v>2.0</v>
      </c>
      <c r="H14" s="20" t="str">
        <f>IF(ISBLANK(G14),"",VLOOKUP(G14,Data!$C$5:$D$8,2))</f>
        <v>Medelhög</v>
      </c>
      <c r="I14" s="23">
        <v>3.0</v>
      </c>
      <c r="J14" s="20" t="str">
        <f>IF(ISBLANK(I14),"",VLOOKUP(I14,Data!$E$5:$F$8,2))</f>
        <v>Betydande </v>
      </c>
      <c r="K14" s="21">
        <f t="shared" si="1"/>
        <v>4</v>
      </c>
      <c r="L14" s="1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16" t="s">
        <v>64</v>
      </c>
      <c r="B15" s="16" t="s">
        <v>20</v>
      </c>
      <c r="C15" s="16" t="s">
        <v>33</v>
      </c>
      <c r="D15" s="17" t="s">
        <v>65</v>
      </c>
      <c r="E15" s="17" t="s">
        <v>66</v>
      </c>
      <c r="F15" s="20" t="s">
        <v>67</v>
      </c>
      <c r="G15" s="23">
        <v>2.0</v>
      </c>
      <c r="H15" s="20" t="str">
        <f>IF(ISBLANK(G15),"",VLOOKUP(G15,Data!$C$5:$D$8,2))</f>
        <v>Medelhög</v>
      </c>
      <c r="I15" s="23">
        <v>3.0</v>
      </c>
      <c r="J15" s="20" t="str">
        <f>IF(ISBLANK(I15),"",VLOOKUP(I15,Data!$E$5:$F$8,2))</f>
        <v>Betydande </v>
      </c>
      <c r="K15" s="21">
        <f t="shared" si="1"/>
        <v>4</v>
      </c>
      <c r="L15" s="16"/>
      <c r="M15" s="6"/>
      <c r="N15" s="24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16" t="s">
        <v>68</v>
      </c>
      <c r="B16" s="16"/>
      <c r="C16" s="16"/>
      <c r="D16" s="16"/>
      <c r="E16" s="16"/>
      <c r="F16" s="16"/>
      <c r="G16" s="23"/>
      <c r="H16" s="20" t="str">
        <f>IF(ISBLANK(G16),"",VLOOKUP(G16,Data!$C$5:$D$8,2))</f>
        <v/>
      </c>
      <c r="I16" s="23"/>
      <c r="J16" s="20" t="str">
        <f>IF(ISBLANK(I16),"",VLOOKUP(I16,Data!$E$5:$F$8,2))</f>
        <v/>
      </c>
      <c r="K16" s="21" t="str">
        <f t="shared" si="1"/>
        <v/>
      </c>
      <c r="L16" s="16"/>
      <c r="M16" s="25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16" t="s">
        <v>69</v>
      </c>
      <c r="B17" s="16"/>
      <c r="C17" s="16"/>
      <c r="D17" s="16"/>
      <c r="E17" s="16"/>
      <c r="F17" s="16"/>
      <c r="G17" s="23"/>
      <c r="H17" s="20" t="str">
        <f>IF(ISBLANK(G17),"",VLOOKUP(G17,Data!$C$5:$D$8,2))</f>
        <v/>
      </c>
      <c r="I17" s="23"/>
      <c r="J17" s="20" t="str">
        <f>IF(ISBLANK(I17),"",VLOOKUP(I17,Data!$E$5:$F$8,2))</f>
        <v/>
      </c>
      <c r="K17" s="21" t="str">
        <f t="shared" si="1"/>
        <v/>
      </c>
      <c r="L17" s="16"/>
      <c r="M17" s="25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6" t="s">
        <v>70</v>
      </c>
      <c r="B18" s="16"/>
      <c r="C18" s="16"/>
      <c r="D18" s="16"/>
      <c r="E18" s="16"/>
      <c r="F18" s="16"/>
      <c r="G18" s="23"/>
      <c r="H18" s="20" t="str">
        <f>IF(ISBLANK(G18),"",VLOOKUP(G18,Data!$C$5:$D$8,2))</f>
        <v/>
      </c>
      <c r="I18" s="23"/>
      <c r="J18" s="20" t="str">
        <f>IF(ISBLANK(I18),"",VLOOKUP(I18,Data!$E$5:$F$8,2))</f>
        <v/>
      </c>
      <c r="K18" s="21" t="str">
        <f t="shared" si="1"/>
        <v/>
      </c>
      <c r="L18" s="16"/>
      <c r="M18" s="2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6" t="s">
        <v>71</v>
      </c>
      <c r="B19" s="16"/>
      <c r="C19" s="16"/>
      <c r="D19" s="16"/>
      <c r="E19" s="16"/>
      <c r="F19" s="16"/>
      <c r="G19" s="23"/>
      <c r="H19" s="20" t="str">
        <f>IF(ISBLANK(G19),"",VLOOKUP(G19,Data!$C$5:$D$8,2))</f>
        <v/>
      </c>
      <c r="I19" s="23"/>
      <c r="J19" s="20" t="str">
        <f>IF(ISBLANK(I19),"",VLOOKUP(I19,Data!$E$5:$F$8,2))</f>
        <v/>
      </c>
      <c r="K19" s="21" t="str">
        <f t="shared" si="1"/>
        <v/>
      </c>
      <c r="L19" s="16"/>
      <c r="M19" s="2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6" t="s">
        <v>72</v>
      </c>
      <c r="B20" s="16"/>
      <c r="C20" s="16"/>
      <c r="D20" s="16"/>
      <c r="E20" s="16"/>
      <c r="F20" s="16"/>
      <c r="G20" s="23"/>
      <c r="H20" s="20" t="str">
        <f>IF(ISBLANK(G20),"",VLOOKUP(G20,Data!$C$5:$D$8,2))</f>
        <v/>
      </c>
      <c r="I20" s="23"/>
      <c r="J20" s="20" t="str">
        <f>IF(ISBLANK(I20),"",VLOOKUP(I20,Data!$E$5:$F$8,2))</f>
        <v/>
      </c>
      <c r="K20" s="21" t="str">
        <f t="shared" si="1"/>
        <v/>
      </c>
      <c r="L20" s="16"/>
      <c r="M20" s="2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16" t="s">
        <v>73</v>
      </c>
      <c r="B21" s="16"/>
      <c r="C21" s="16"/>
      <c r="D21" s="16"/>
      <c r="E21" s="16"/>
      <c r="F21" s="20"/>
      <c r="G21" s="23"/>
      <c r="H21" s="20" t="str">
        <f>IF(ISBLANK(G21),"",VLOOKUP(G21,Data!$C$5:$D$8,2))</f>
        <v/>
      </c>
      <c r="I21" s="23"/>
      <c r="J21" s="20" t="str">
        <f>IF(ISBLANK(I21),"",VLOOKUP(I21,Data!$E$5:$F$8,2))</f>
        <v/>
      </c>
      <c r="K21" s="21" t="str">
        <f t="shared" si="1"/>
        <v/>
      </c>
      <c r="L21" s="16"/>
      <c r="M21" s="2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6" t="s">
        <v>74</v>
      </c>
      <c r="B22" s="16"/>
      <c r="C22" s="16"/>
      <c r="D22" s="16"/>
      <c r="E22" s="16"/>
      <c r="F22" s="20"/>
      <c r="G22" s="23"/>
      <c r="H22" s="20" t="str">
        <f>IF(ISBLANK(G22),"",VLOOKUP(G22,Data!$C$5:$D$8,2))</f>
        <v/>
      </c>
      <c r="I22" s="23"/>
      <c r="J22" s="20" t="str">
        <f>IF(ISBLANK(I22),"",VLOOKUP(I22,Data!$E$5:$F$8,2))</f>
        <v/>
      </c>
      <c r="K22" s="21" t="str">
        <f t="shared" si="1"/>
        <v/>
      </c>
      <c r="L22" s="16"/>
      <c r="M22" s="2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6" t="s">
        <v>75</v>
      </c>
      <c r="B23" s="16"/>
      <c r="C23" s="16"/>
      <c r="D23" s="16"/>
      <c r="E23" s="16"/>
      <c r="F23" s="20"/>
      <c r="G23" s="23"/>
      <c r="H23" s="20" t="str">
        <f>IF(ISBLANK(G23),"",VLOOKUP(G23,Data!$C$5:$D$8,2))</f>
        <v/>
      </c>
      <c r="I23" s="23"/>
      <c r="J23" s="20" t="str">
        <f>IF(ISBLANK(I23),"",VLOOKUP(I23,Data!$E$5:$F$8,2))</f>
        <v/>
      </c>
      <c r="K23" s="21" t="str">
        <f t="shared" si="1"/>
        <v/>
      </c>
      <c r="L23" s="1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6" t="s">
        <v>76</v>
      </c>
      <c r="B24" s="16"/>
      <c r="C24" s="16"/>
      <c r="D24" s="16"/>
      <c r="E24" s="16"/>
      <c r="F24" s="20"/>
      <c r="G24" s="23"/>
      <c r="H24" s="20" t="str">
        <f>IF(ISBLANK(G24),"",VLOOKUP(G24,Data!$C$5:$D$8,2))</f>
        <v/>
      </c>
      <c r="I24" s="23"/>
      <c r="J24" s="20" t="str">
        <f>IF(ISBLANK(I24),"",VLOOKUP(I24,Data!$E$5:$F$8,2))</f>
        <v/>
      </c>
      <c r="K24" s="21" t="str">
        <f t="shared" si="1"/>
        <v/>
      </c>
      <c r="L24" s="1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6" t="s">
        <v>77</v>
      </c>
      <c r="B25" s="16"/>
      <c r="C25" s="16"/>
      <c r="D25" s="16"/>
      <c r="E25" s="16"/>
      <c r="F25" s="20"/>
      <c r="G25" s="23"/>
      <c r="H25" s="20" t="str">
        <f>IF(ISBLANK(G25),"",VLOOKUP(G25,Data!$C$5:$D$8,2))</f>
        <v/>
      </c>
      <c r="I25" s="23"/>
      <c r="J25" s="20" t="str">
        <f>IF(ISBLANK(I25),"",VLOOKUP(I25,Data!$E$5:$F$8,2))</f>
        <v/>
      </c>
      <c r="K25" s="21" t="str">
        <f t="shared" si="1"/>
        <v/>
      </c>
      <c r="L25" s="1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16" t="s">
        <v>78</v>
      </c>
      <c r="B26" s="16"/>
      <c r="C26" s="16"/>
      <c r="D26" s="16"/>
      <c r="E26" s="16"/>
      <c r="F26" s="20"/>
      <c r="G26" s="23"/>
      <c r="H26" s="20" t="str">
        <f>IF(ISBLANK(G26),"",VLOOKUP(G26,Data!$C$5:$D$8,2))</f>
        <v/>
      </c>
      <c r="I26" s="23"/>
      <c r="J26" s="20" t="str">
        <f>IF(ISBLANK(I26),"",VLOOKUP(I26,Data!$E$5:$F$8,2))</f>
        <v/>
      </c>
      <c r="K26" s="21" t="str">
        <f t="shared" si="1"/>
        <v/>
      </c>
      <c r="L26" s="1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6" t="s">
        <v>79</v>
      </c>
      <c r="B27" s="16"/>
      <c r="C27" s="16"/>
      <c r="D27" s="16"/>
      <c r="E27" s="16"/>
      <c r="F27" s="20"/>
      <c r="G27" s="23"/>
      <c r="H27" s="20" t="str">
        <f>IF(ISBLANK(G27),"",VLOOKUP(G27,Data!$C$5:$D$8,2))</f>
        <v/>
      </c>
      <c r="I27" s="23"/>
      <c r="J27" s="20" t="str">
        <f>IF(ISBLANK(I27),"",VLOOKUP(I27,Data!$E$5:$F$8,2))</f>
        <v/>
      </c>
      <c r="K27" s="21" t="str">
        <f t="shared" si="1"/>
        <v/>
      </c>
      <c r="L27" s="1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16" t="s">
        <v>80</v>
      </c>
      <c r="B28" s="16"/>
      <c r="C28" s="16"/>
      <c r="D28" s="16"/>
      <c r="E28" s="16"/>
      <c r="F28" s="20"/>
      <c r="G28" s="23"/>
      <c r="H28" s="20" t="str">
        <f>IF(ISBLANK(G28),"",VLOOKUP(G28,Data!$C$5:$D$8,2))</f>
        <v/>
      </c>
      <c r="I28" s="23"/>
      <c r="J28" s="20" t="str">
        <f>IF(ISBLANK(I28),"",VLOOKUP(I28,Data!$E$5:$F$8,2))</f>
        <v/>
      </c>
      <c r="K28" s="21" t="str">
        <f t="shared" si="1"/>
        <v/>
      </c>
      <c r="L28" s="1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6" t="s">
        <v>81</v>
      </c>
      <c r="B29" s="16"/>
      <c r="C29" s="16"/>
      <c r="D29" s="16"/>
      <c r="E29" s="16"/>
      <c r="F29" s="20"/>
      <c r="G29" s="23"/>
      <c r="H29" s="20" t="str">
        <f>IF(ISBLANK(G29),"",VLOOKUP(G29,Data!$C$5:$D$8,2))</f>
        <v/>
      </c>
      <c r="I29" s="23"/>
      <c r="J29" s="20" t="str">
        <f>IF(ISBLANK(I29),"",VLOOKUP(I29,Data!$E$5:$F$8,2))</f>
        <v/>
      </c>
      <c r="K29" s="21" t="str">
        <f t="shared" si="1"/>
        <v/>
      </c>
      <c r="L29" s="1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16" t="s">
        <v>82</v>
      </c>
      <c r="B30" s="16"/>
      <c r="C30" s="16"/>
      <c r="D30" s="16"/>
      <c r="E30" s="16"/>
      <c r="F30" s="20"/>
      <c r="G30" s="23"/>
      <c r="H30" s="20" t="str">
        <f>IF(ISBLANK(G30),"",VLOOKUP(G30,Data!$C$5:$D$8,2))</f>
        <v/>
      </c>
      <c r="I30" s="23"/>
      <c r="J30" s="20" t="str">
        <f>IF(ISBLANK(I30),"",VLOOKUP(I30,Data!$E$5:$F$8,2))</f>
        <v/>
      </c>
      <c r="K30" s="21" t="str">
        <f t="shared" si="1"/>
        <v/>
      </c>
      <c r="L30" s="1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16" t="s">
        <v>83</v>
      </c>
      <c r="B31" s="16"/>
      <c r="C31" s="16"/>
      <c r="D31" s="16"/>
      <c r="E31" s="16"/>
      <c r="F31" s="20"/>
      <c r="G31" s="23"/>
      <c r="H31" s="20" t="str">
        <f>IF(ISBLANK(G31),"",VLOOKUP(G31,Data!$C$5:$D$8,2))</f>
        <v/>
      </c>
      <c r="I31" s="23"/>
      <c r="J31" s="20" t="str">
        <f>IF(ISBLANK(I31),"",VLOOKUP(I31,Data!$E$5:$F$8,2))</f>
        <v/>
      </c>
      <c r="K31" s="21" t="str">
        <f t="shared" si="1"/>
        <v/>
      </c>
      <c r="L31" s="1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16" t="s">
        <v>84</v>
      </c>
      <c r="B32" s="16"/>
      <c r="C32" s="16"/>
      <c r="D32" s="16"/>
      <c r="E32" s="16"/>
      <c r="F32" s="20"/>
      <c r="G32" s="23"/>
      <c r="H32" s="20" t="str">
        <f>IF(ISBLANK(G32),"",VLOOKUP(G32,Data!$C$5:$D$8,2))</f>
        <v/>
      </c>
      <c r="I32" s="23"/>
      <c r="J32" s="20" t="str">
        <f>IF(ISBLANK(I32),"",VLOOKUP(I32,Data!$E$5:$F$8,2))</f>
        <v/>
      </c>
      <c r="K32" s="21" t="str">
        <f t="shared" si="1"/>
        <v/>
      </c>
      <c r="L32" s="1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16" t="s">
        <v>85</v>
      </c>
      <c r="B33" s="16"/>
      <c r="C33" s="16"/>
      <c r="D33" s="16"/>
      <c r="E33" s="16"/>
      <c r="F33" s="20"/>
      <c r="G33" s="23"/>
      <c r="H33" s="20" t="str">
        <f>IF(ISBLANK(G33),"",VLOOKUP(G33,Data!$C$5:$D$8,2))</f>
        <v/>
      </c>
      <c r="I33" s="23"/>
      <c r="J33" s="20" t="str">
        <f>IF(ISBLANK(I33),"",VLOOKUP(I33,Data!$E$5:$F$8,2))</f>
        <v/>
      </c>
      <c r="K33" s="21" t="str">
        <f t="shared" si="1"/>
        <v/>
      </c>
      <c r="L33" s="1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16" t="s">
        <v>86</v>
      </c>
      <c r="B34" s="16"/>
      <c r="C34" s="16"/>
      <c r="D34" s="16"/>
      <c r="E34" s="16"/>
      <c r="F34" s="20"/>
      <c r="G34" s="23"/>
      <c r="H34" s="20" t="str">
        <f>IF(ISBLANK(G34),"",VLOOKUP(G34,Data!$C$5:$D$8,2))</f>
        <v/>
      </c>
      <c r="I34" s="23"/>
      <c r="J34" s="20" t="str">
        <f>IF(ISBLANK(I34),"",VLOOKUP(I34,Data!$E$5:$F$8,2))</f>
        <v/>
      </c>
      <c r="K34" s="21" t="str">
        <f t="shared" si="1"/>
        <v/>
      </c>
      <c r="L34" s="1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16" t="s">
        <v>87</v>
      </c>
      <c r="B35" s="16"/>
      <c r="C35" s="16"/>
      <c r="D35" s="16"/>
      <c r="E35" s="16"/>
      <c r="F35" s="20"/>
      <c r="G35" s="23"/>
      <c r="H35" s="20" t="str">
        <f>IF(ISBLANK(G35),"",VLOOKUP(G35,Data!$C$5:$D$8,2))</f>
        <v/>
      </c>
      <c r="I35" s="23"/>
      <c r="J35" s="20" t="str">
        <f>IF(ISBLANK(I35),"",VLOOKUP(I35,Data!$E$5:$F$8,2))</f>
        <v/>
      </c>
      <c r="K35" s="21" t="str">
        <f t="shared" si="1"/>
        <v/>
      </c>
      <c r="L35" s="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16" t="s">
        <v>88</v>
      </c>
      <c r="B36" s="16"/>
      <c r="C36" s="16"/>
      <c r="D36" s="16"/>
      <c r="E36" s="16"/>
      <c r="F36" s="20"/>
      <c r="G36" s="23"/>
      <c r="H36" s="20" t="str">
        <f>IF(ISBLANK(G36),"",VLOOKUP(G36,Data!$C$5:$D$8,2))</f>
        <v/>
      </c>
      <c r="I36" s="23"/>
      <c r="J36" s="20" t="str">
        <f>IF(ISBLANK(I36),"",VLOOKUP(I36,Data!$E$5:$F$8,2))</f>
        <v/>
      </c>
      <c r="K36" s="21" t="str">
        <f t="shared" si="1"/>
        <v/>
      </c>
      <c r="L36" s="1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16" t="s">
        <v>89</v>
      </c>
      <c r="B37" s="16"/>
      <c r="C37" s="16"/>
      <c r="D37" s="16"/>
      <c r="E37" s="16"/>
      <c r="F37" s="20"/>
      <c r="G37" s="23"/>
      <c r="H37" s="20" t="str">
        <f>IF(ISBLANK(G37),"",VLOOKUP(G37,Data!$C$5:$D$8,2))</f>
        <v/>
      </c>
      <c r="I37" s="23"/>
      <c r="J37" s="20" t="str">
        <f>IF(ISBLANK(I37),"",VLOOKUP(I37,Data!$E$5:$F$8,2))</f>
        <v/>
      </c>
      <c r="K37" s="21" t="str">
        <f t="shared" si="1"/>
        <v/>
      </c>
      <c r="L37" s="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16" t="s">
        <v>90</v>
      </c>
      <c r="B38" s="16"/>
      <c r="C38" s="16"/>
      <c r="D38" s="16"/>
      <c r="E38" s="16"/>
      <c r="F38" s="20"/>
      <c r="G38" s="23"/>
      <c r="H38" s="20" t="str">
        <f>IF(ISBLANK(G38),"",VLOOKUP(G38,Data!$C$5:$D$8,2))</f>
        <v/>
      </c>
      <c r="I38" s="23"/>
      <c r="J38" s="20" t="str">
        <f>IF(ISBLANK(I38),"",VLOOKUP(I38,Data!$E$5:$F$8,2))</f>
        <v/>
      </c>
      <c r="K38" s="21" t="str">
        <f t="shared" si="1"/>
        <v/>
      </c>
      <c r="L38" s="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16" t="s">
        <v>91</v>
      </c>
      <c r="B39" s="16"/>
      <c r="C39" s="16"/>
      <c r="D39" s="16"/>
      <c r="E39" s="16"/>
      <c r="F39" s="20"/>
      <c r="G39" s="23"/>
      <c r="H39" s="20" t="str">
        <f>IF(ISBLANK(G39),"",VLOOKUP(G39,Data!$C$5:$D$8,2))</f>
        <v/>
      </c>
      <c r="I39" s="23"/>
      <c r="J39" s="20" t="str">
        <f>IF(ISBLANK(I39),"",VLOOKUP(I39,Data!$E$5:$F$8,2))</f>
        <v/>
      </c>
      <c r="K39" s="21" t="str">
        <f t="shared" si="1"/>
        <v/>
      </c>
      <c r="L39" s="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16" t="s">
        <v>92</v>
      </c>
      <c r="B40" s="16"/>
      <c r="C40" s="16"/>
      <c r="D40" s="16"/>
      <c r="E40" s="16"/>
      <c r="F40" s="20"/>
      <c r="G40" s="23"/>
      <c r="H40" s="20" t="str">
        <f>IF(ISBLANK(G40),"",VLOOKUP(G40,Data!$C$5:$D$8,2))</f>
        <v/>
      </c>
      <c r="I40" s="23"/>
      <c r="J40" s="20" t="str">
        <f>IF(ISBLANK(I40),"",VLOOKUP(I40,Data!$E$5:$F$8,2))</f>
        <v/>
      </c>
      <c r="K40" s="21" t="str">
        <f t="shared" si="1"/>
        <v/>
      </c>
      <c r="L40" s="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16" t="s">
        <v>93</v>
      </c>
      <c r="B41" s="16"/>
      <c r="C41" s="16"/>
      <c r="D41" s="16"/>
      <c r="E41" s="16"/>
      <c r="F41" s="20"/>
      <c r="G41" s="23"/>
      <c r="H41" s="20" t="str">
        <f>IF(ISBLANK(G41),"",VLOOKUP(G41,Data!$C$5:$D$8,2))</f>
        <v/>
      </c>
      <c r="I41" s="23"/>
      <c r="J41" s="20" t="str">
        <f>IF(ISBLANK(I41),"",VLOOKUP(I41,Data!$E$5:$F$8,2))</f>
        <v/>
      </c>
      <c r="K41" s="21" t="str">
        <f t="shared" si="1"/>
        <v/>
      </c>
      <c r="L41" s="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16" t="s">
        <v>94</v>
      </c>
      <c r="B42" s="16"/>
      <c r="C42" s="16"/>
      <c r="D42" s="16"/>
      <c r="E42" s="16"/>
      <c r="F42" s="20"/>
      <c r="G42" s="23"/>
      <c r="H42" s="20" t="str">
        <f>IF(ISBLANK(G42),"",VLOOKUP(G42,Data!$C$5:$D$8,2))</f>
        <v/>
      </c>
      <c r="I42" s="23"/>
      <c r="J42" s="20" t="str">
        <f>IF(ISBLANK(I42),"",VLOOKUP(I42,Data!$E$5:$F$8,2))</f>
        <v/>
      </c>
      <c r="K42" s="21" t="str">
        <f t="shared" si="1"/>
        <v/>
      </c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16" t="s">
        <v>95</v>
      </c>
      <c r="B43" s="16"/>
      <c r="C43" s="16"/>
      <c r="D43" s="16"/>
      <c r="E43" s="16"/>
      <c r="F43" s="20"/>
      <c r="G43" s="23"/>
      <c r="H43" s="20" t="str">
        <f>IF(ISBLANK(G43),"",VLOOKUP(G43,Data!$C$5:$D$8,2))</f>
        <v/>
      </c>
      <c r="I43" s="23"/>
      <c r="J43" s="20" t="str">
        <f>IF(ISBLANK(I43),"",VLOOKUP(I43,Data!$E$5:$F$8,2))</f>
        <v/>
      </c>
      <c r="K43" s="21" t="str">
        <f t="shared" si="1"/>
        <v/>
      </c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16" t="s">
        <v>96</v>
      </c>
      <c r="B44" s="16"/>
      <c r="C44" s="16"/>
      <c r="D44" s="16"/>
      <c r="E44" s="16"/>
      <c r="F44" s="20"/>
      <c r="G44" s="23"/>
      <c r="H44" s="20" t="str">
        <f>IF(ISBLANK(G44),"",VLOOKUP(G44,Data!$C$5:$D$8,2))</f>
        <v/>
      </c>
      <c r="I44" s="23"/>
      <c r="J44" s="20" t="str">
        <f>IF(ISBLANK(I44),"",VLOOKUP(I44,Data!$E$5:$F$8,2))</f>
        <v/>
      </c>
      <c r="K44" s="21" t="str">
        <f t="shared" si="1"/>
        <v/>
      </c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16" t="s">
        <v>97</v>
      </c>
      <c r="B45" s="16"/>
      <c r="C45" s="16"/>
      <c r="D45" s="16"/>
      <c r="E45" s="16"/>
      <c r="F45" s="20"/>
      <c r="G45" s="23"/>
      <c r="H45" s="20" t="str">
        <f>IF(ISBLANK(G45),"",VLOOKUP(G45,Data!$C$5:$D$8,2))</f>
        <v/>
      </c>
      <c r="I45" s="23"/>
      <c r="J45" s="20" t="str">
        <f>IF(ISBLANK(I45),"",VLOOKUP(I45,Data!$E$5:$F$8,2))</f>
        <v/>
      </c>
      <c r="K45" s="21" t="str">
        <f t="shared" si="1"/>
        <v/>
      </c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16" t="s">
        <v>98</v>
      </c>
      <c r="B46" s="16"/>
      <c r="C46" s="16"/>
      <c r="D46" s="16"/>
      <c r="E46" s="16"/>
      <c r="F46" s="20"/>
      <c r="G46" s="23"/>
      <c r="H46" s="20" t="str">
        <f>IF(ISBLANK(G46),"",VLOOKUP(G46,Data!$C$5:$D$8,2))</f>
        <v/>
      </c>
      <c r="I46" s="23"/>
      <c r="J46" s="20" t="str">
        <f>IF(ISBLANK(I46),"",VLOOKUP(I46,Data!$E$5:$F$8,2))</f>
        <v/>
      </c>
      <c r="K46" s="21" t="str">
        <f t="shared" si="1"/>
        <v/>
      </c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16" t="s">
        <v>99</v>
      </c>
      <c r="B47" s="16"/>
      <c r="C47" s="16"/>
      <c r="D47" s="16"/>
      <c r="E47" s="16"/>
      <c r="F47" s="20"/>
      <c r="G47" s="23"/>
      <c r="H47" s="20" t="str">
        <f>IF(ISBLANK(G47),"",VLOOKUP(G47,Data!$C$5:$D$8,2))</f>
        <v/>
      </c>
      <c r="I47" s="23"/>
      <c r="J47" s="20" t="str">
        <f>IF(ISBLANK(I47),"",VLOOKUP(I47,Data!$E$5:$F$8,2))</f>
        <v/>
      </c>
      <c r="K47" s="21" t="str">
        <f t="shared" si="1"/>
        <v/>
      </c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16" t="s">
        <v>100</v>
      </c>
      <c r="B48" s="16"/>
      <c r="C48" s="16"/>
      <c r="D48" s="16"/>
      <c r="E48" s="16"/>
      <c r="F48" s="20"/>
      <c r="G48" s="23"/>
      <c r="H48" s="20" t="str">
        <f>IF(ISBLANK(G48),"",VLOOKUP(G48,Data!$C$5:$D$8,2))</f>
        <v/>
      </c>
      <c r="I48" s="23"/>
      <c r="J48" s="20" t="str">
        <f>IF(ISBLANK(I48),"",VLOOKUP(I48,Data!$E$5:$F$8,2))</f>
        <v/>
      </c>
      <c r="K48" s="21" t="str">
        <f t="shared" si="1"/>
        <v/>
      </c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16" t="s">
        <v>101</v>
      </c>
      <c r="B49" s="16"/>
      <c r="C49" s="16"/>
      <c r="D49" s="16"/>
      <c r="E49" s="16"/>
      <c r="F49" s="20"/>
      <c r="G49" s="23"/>
      <c r="H49" s="20" t="str">
        <f>IF(ISBLANK(G49),"",VLOOKUP(G49,Data!$C$5:$D$8,2))</f>
        <v/>
      </c>
      <c r="I49" s="23"/>
      <c r="J49" s="20" t="str">
        <f>IF(ISBLANK(I49),"",VLOOKUP(I49,Data!$E$5:$F$8,2))</f>
        <v/>
      </c>
      <c r="K49" s="21" t="str">
        <f t="shared" si="1"/>
        <v/>
      </c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16" t="s">
        <v>102</v>
      </c>
      <c r="B50" s="16"/>
      <c r="C50" s="16"/>
      <c r="D50" s="16"/>
      <c r="E50" s="16"/>
      <c r="F50" s="20"/>
      <c r="G50" s="23"/>
      <c r="H50" s="20" t="str">
        <f>IF(ISBLANK(G50),"",VLOOKUP(G50,Data!$C$5:$D$8,2))</f>
        <v/>
      </c>
      <c r="I50" s="23"/>
      <c r="J50" s="20" t="str">
        <f>IF(ISBLANK(I50),"",VLOOKUP(I50,Data!$E$5:$F$8,2))</f>
        <v/>
      </c>
      <c r="K50" s="21" t="str">
        <f t="shared" si="1"/>
        <v/>
      </c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16" t="s">
        <v>103</v>
      </c>
      <c r="B51" s="16"/>
      <c r="C51" s="16"/>
      <c r="D51" s="16"/>
      <c r="E51" s="16"/>
      <c r="F51" s="20"/>
      <c r="G51" s="23"/>
      <c r="H51" s="20" t="str">
        <f>IF(ISBLANK(G51),"",VLOOKUP(G51,Data!$C$5:$D$8,2))</f>
        <v/>
      </c>
      <c r="I51" s="23"/>
      <c r="J51" s="20" t="str">
        <f>IF(ISBLANK(I51),"",VLOOKUP(I51,Data!$E$5:$F$8,2))</f>
        <v/>
      </c>
      <c r="K51" s="21" t="str">
        <f t="shared" si="1"/>
        <v/>
      </c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16" t="s">
        <v>104</v>
      </c>
      <c r="B52" s="16"/>
      <c r="C52" s="16"/>
      <c r="D52" s="16"/>
      <c r="E52" s="16"/>
      <c r="F52" s="20"/>
      <c r="G52" s="23"/>
      <c r="H52" s="20" t="str">
        <f>IF(ISBLANK(G52),"",VLOOKUP(G52,Data!$C$5:$D$8,2))</f>
        <v/>
      </c>
      <c r="I52" s="23"/>
      <c r="J52" s="20" t="str">
        <f>IF(ISBLANK(I52),"",VLOOKUP(I52,Data!$E$5:$F$8,2))</f>
        <v/>
      </c>
      <c r="K52" s="21" t="str">
        <f t="shared" si="1"/>
        <v/>
      </c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16" t="s">
        <v>105</v>
      </c>
      <c r="B53" s="16"/>
      <c r="C53" s="16"/>
      <c r="D53" s="16"/>
      <c r="E53" s="16"/>
      <c r="F53" s="20"/>
      <c r="G53" s="23"/>
      <c r="H53" s="20" t="str">
        <f>IF(ISBLANK(G53),"",VLOOKUP(G53,Data!$C$5:$D$8,2))</f>
        <v/>
      </c>
      <c r="I53" s="23"/>
      <c r="J53" s="20" t="str">
        <f>IF(ISBLANK(I53),"",VLOOKUP(I53,Data!$E$5:$F$8,2))</f>
        <v/>
      </c>
      <c r="K53" s="21" t="str">
        <f t="shared" si="1"/>
        <v/>
      </c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6" t="s">
        <v>106</v>
      </c>
      <c r="B54" s="16"/>
      <c r="C54" s="16"/>
      <c r="D54" s="16"/>
      <c r="E54" s="16"/>
      <c r="F54" s="20"/>
      <c r="G54" s="23"/>
      <c r="H54" s="20" t="str">
        <f>IF(ISBLANK(G54),"",VLOOKUP(G54,Data!$C$5:$D$8,2))</f>
        <v/>
      </c>
      <c r="I54" s="23"/>
      <c r="J54" s="20" t="str">
        <f>IF(ISBLANK(I54),"",VLOOKUP(I54,Data!$E$5:$F$8,2))</f>
        <v/>
      </c>
      <c r="K54" s="21" t="str">
        <f t="shared" si="1"/>
        <v/>
      </c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16" t="s">
        <v>107</v>
      </c>
      <c r="B55" s="16"/>
      <c r="C55" s="16"/>
      <c r="D55" s="16"/>
      <c r="E55" s="16"/>
      <c r="F55" s="20"/>
      <c r="G55" s="23"/>
      <c r="H55" s="20" t="str">
        <f>IF(ISBLANK(G55),"",VLOOKUP(G55,Data!$C$5:$D$8,2))</f>
        <v/>
      </c>
      <c r="I55" s="23"/>
      <c r="J55" s="20" t="str">
        <f>IF(ISBLANK(I55),"",VLOOKUP(I55,Data!$E$5:$F$8,2))</f>
        <v/>
      </c>
      <c r="K55" s="21" t="str">
        <f t="shared" si="1"/>
        <v/>
      </c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5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5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5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5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90CCB74-3B1C-41F5-82A4-71BC99E2D6DF}" filter="1" showAutoFilter="1">
      <autoFilter ref="$A$5:$L$55"/>
    </customSheetView>
  </customSheetViews>
  <mergeCells count="2">
    <mergeCell ref="G4:H4"/>
    <mergeCell ref="I4:J4"/>
  </mergeCells>
  <conditionalFormatting sqref="J6:J55">
    <cfRule type="containsText" dxfId="7" priority="1" operator="containsText" text="Måttlig">
      <formula>NOT(ISERROR(SEARCH(("Måttlig"),(J6))))</formula>
    </cfRule>
  </conditionalFormatting>
  <conditionalFormatting sqref="J6:J55">
    <cfRule type="containsText" dxfId="8" priority="2" operator="containsText" text="Försumbar">
      <formula>NOT(ISERROR(SEARCH(("Försumbar"),(J6))))</formula>
    </cfRule>
  </conditionalFormatting>
  <conditionalFormatting sqref="J6:J55">
    <cfRule type="containsText" dxfId="9" priority="3" operator="containsText" text="Betydande">
      <formula>NOT(ISERROR(SEARCH(("Betydande"),(J6))))</formula>
    </cfRule>
  </conditionalFormatting>
  <conditionalFormatting sqref="J6:J55">
    <cfRule type="containsText" dxfId="10" priority="4" operator="containsText" text="Allvarlig">
      <formula>NOT(ISERROR(SEARCH(("Allvarlig"),(J6))))</formula>
    </cfRule>
  </conditionalFormatting>
  <conditionalFormatting sqref="K6:K55">
    <cfRule type="containsText" dxfId="11" priority="5" operator="containsText" text="7">
      <formula>NOT(ISERROR(SEARCH(("7"),(K6))))</formula>
    </cfRule>
  </conditionalFormatting>
  <conditionalFormatting sqref="K6:K55">
    <cfRule type="containsText" dxfId="12" priority="6" operator="containsText" text="6">
      <formula>NOT(ISERROR(SEARCH(("6"),(K6))))</formula>
    </cfRule>
  </conditionalFormatting>
  <conditionalFormatting sqref="K6:K55">
    <cfRule type="containsText" dxfId="13" priority="7" operator="containsText" text="5">
      <formula>NOT(ISERROR(SEARCH(("5"),(K6))))</formula>
    </cfRule>
  </conditionalFormatting>
  <conditionalFormatting sqref="K6:K55">
    <cfRule type="containsText" dxfId="14" priority="8" operator="containsText" text="4">
      <formula>NOT(ISERROR(SEARCH(("4"),(K6))))</formula>
    </cfRule>
  </conditionalFormatting>
  <conditionalFormatting sqref="K6:K55">
    <cfRule type="containsText" dxfId="9" priority="9" operator="containsText" text="3">
      <formula>NOT(ISERROR(SEARCH(("3"),(K6))))</formula>
    </cfRule>
  </conditionalFormatting>
  <conditionalFormatting sqref="K6:K55">
    <cfRule type="containsText" dxfId="7" priority="10" operator="containsText" text="2">
      <formula>NOT(ISERROR(SEARCH(("2"),(K6))))</formula>
    </cfRule>
  </conditionalFormatting>
  <conditionalFormatting sqref="K6:K55">
    <cfRule type="containsText" dxfId="8" priority="11" operator="containsText" text="1">
      <formula>NOT(ISERROR(SEARCH(("1"),(K6))))</formula>
    </cfRule>
  </conditionalFormatting>
  <conditionalFormatting sqref="G6:G55">
    <cfRule type="containsText" dxfId="10" priority="12" operator="containsText" text="4">
      <formula>NOT(ISERROR(SEARCH(("4"),(G6))))</formula>
    </cfRule>
  </conditionalFormatting>
  <conditionalFormatting sqref="G6:G55">
    <cfRule type="cellIs" dxfId="9" priority="13" operator="equal">
      <formula>3</formula>
    </cfRule>
  </conditionalFormatting>
  <conditionalFormatting sqref="G6:G55">
    <cfRule type="cellIs" dxfId="7" priority="14" operator="equal">
      <formula>2</formula>
    </cfRule>
  </conditionalFormatting>
  <conditionalFormatting sqref="G6:G55">
    <cfRule type="cellIs" dxfId="8" priority="15" operator="equal">
      <formula>1</formula>
    </cfRule>
  </conditionalFormatting>
  <conditionalFormatting sqref="I6:I55">
    <cfRule type="cellIs" dxfId="10" priority="16" operator="equal">
      <formula>4</formula>
    </cfRule>
  </conditionalFormatting>
  <conditionalFormatting sqref="I6:I55">
    <cfRule type="cellIs" dxfId="9" priority="17" operator="equal">
      <formula>3</formula>
    </cfRule>
  </conditionalFormatting>
  <conditionalFormatting sqref="I6:I55">
    <cfRule type="cellIs" dxfId="7" priority="18" operator="equal">
      <formula>2</formula>
    </cfRule>
  </conditionalFormatting>
  <conditionalFormatting sqref="I6:I55">
    <cfRule type="cellIs" dxfId="8" priority="19" operator="equal">
      <formula>1</formula>
    </cfRule>
  </conditionalFormatting>
  <conditionalFormatting sqref="H6:H55">
    <cfRule type="containsText" dxfId="10" priority="20" operator="containsText" text="Mycket hög">
      <formula>NOT(ISERROR(SEARCH(("Mycket hög"),(H6))))</formula>
    </cfRule>
  </conditionalFormatting>
  <conditionalFormatting sqref="H6:H55">
    <cfRule type="containsText" dxfId="8" priority="21" operator="containsText" text="Låg">
      <formula>NOT(ISERROR(SEARCH(("Låg"),(H6))))</formula>
    </cfRule>
  </conditionalFormatting>
  <conditionalFormatting sqref="H6:H55">
    <cfRule type="containsText" dxfId="7" priority="22" operator="containsText" text="Medelhög">
      <formula>NOT(ISERROR(SEARCH(("Medelhög"),(H6))))</formula>
    </cfRule>
  </conditionalFormatting>
  <conditionalFormatting sqref="H6:H55">
    <cfRule type="containsText" dxfId="9" priority="23" operator="containsText" text="Hög">
      <formula>NOT(ISERROR(SEARCH(("Hög"),(H6))))</formula>
    </cfRule>
  </conditionalFormatting>
  <conditionalFormatting sqref="H6:H55">
    <cfRule type="containsText" dxfId="10" priority="24" operator="containsText" text="Mycket hög">
      <formula>NOT(ISERROR(SEARCH(("Mycket hög"),(H6))))</formula>
    </cfRule>
  </conditionalFormatting>
  <conditionalFormatting sqref="H6:H55">
    <cfRule type="containsText" dxfId="9" priority="25" operator="containsText" text="Hög">
      <formula>NOT(ISERROR(SEARCH(("Hög"),(H6))))</formula>
    </cfRule>
  </conditionalFormatting>
  <conditionalFormatting sqref="H6:H55">
    <cfRule type="containsText" dxfId="7" priority="26" operator="containsText" text="Medelhög">
      <formula>NOT(ISERROR(SEARCH(("Medelhög"),(H6))))</formula>
    </cfRule>
  </conditionalFormatting>
  <conditionalFormatting sqref="H6:H55">
    <cfRule type="containsText" dxfId="8" priority="27" operator="containsText" text="Låg">
      <formula>NOT(ISERROR(SEARCH(("Låg"),(H6))))</formula>
    </cfRule>
  </conditionalFormatting>
  <conditionalFormatting sqref="H9">
    <cfRule type="containsText" dxfId="7" priority="28" operator="containsText" text="Medelhög">
      <formula>NOT(ISERROR(SEARCH(("Medelhög"),(H9))))</formula>
    </cfRule>
  </conditionalFormatting>
  <conditionalFormatting sqref="H9">
    <cfRule type="containsText" dxfId="8" priority="29" operator="containsText" text="Låg">
      <formula>NOT(ISERROR(SEARCH(("Låg"),(H9))))</formula>
    </cfRule>
  </conditionalFormatting>
  <conditionalFormatting sqref="H9">
    <cfRule type="containsText" dxfId="9" priority="30" operator="containsText" text="Hög">
      <formula>NOT(ISERROR(SEARCH(("Hög"),(H9))))</formula>
    </cfRule>
  </conditionalFormatting>
  <conditionalFormatting sqref="H9">
    <cfRule type="containsText" dxfId="10" priority="31" operator="containsText" text="Mycket hög">
      <formula>NOT(ISERROR(SEARCH(("Mycket hög"),(H9))))</formula>
    </cfRule>
  </conditionalFormatting>
  <conditionalFormatting sqref="H14:H15">
    <cfRule type="containsText" dxfId="10" priority="32" operator="containsText" text="Mycket hög">
      <formula>NOT(ISERROR(SEARCH(("Mycket hög"),(H14))))</formula>
    </cfRule>
  </conditionalFormatting>
  <conditionalFormatting sqref="H14:H15">
    <cfRule type="containsText" dxfId="9" priority="33" operator="containsText" text="Hög">
      <formula>NOT(ISERROR(SEARCH(("Hög"),(H14))))</formula>
    </cfRule>
  </conditionalFormatting>
  <conditionalFormatting sqref="H14:H15">
    <cfRule type="containsText" dxfId="7" priority="34" operator="containsText" text="Medelhög">
      <formula>NOT(ISERROR(SEARCH(("Medelhög"),(H14))))</formula>
    </cfRule>
  </conditionalFormatting>
  <conditionalFormatting sqref="H14:H15">
    <cfRule type="containsText" dxfId="8" priority="35" operator="containsText" text="Låg">
      <formula>NOT(ISERROR(SEARCH(("Låg"),(H14))))</formula>
    </cfRule>
  </conditionalFormatting>
  <conditionalFormatting sqref="H15">
    <cfRule type="containsText" dxfId="7" priority="36" operator="containsText" text="Måttlig">
      <formula>NOT(ISERROR(SEARCH(("Måttlig"),(H15))))</formula>
    </cfRule>
  </conditionalFormatting>
  <conditionalFormatting sqref="H15">
    <cfRule type="containsText" dxfId="8" priority="37" operator="containsText" text="Försumbar">
      <formula>NOT(ISERROR(SEARCH(("Försumbar"),(H15))))</formula>
    </cfRule>
  </conditionalFormatting>
  <conditionalFormatting sqref="H15">
    <cfRule type="containsText" dxfId="9" priority="38" operator="containsText" text="Hög">
      <formula>NOT(ISERROR(SEARCH(("Hög"),(H15))))</formula>
    </cfRule>
  </conditionalFormatting>
  <conditionalFormatting sqref="H15">
    <cfRule type="containsText" dxfId="10" priority="39" operator="containsText" text="Mycket hög">
      <formula>NOT(ISERROR(SEARCH(("Mycket hög"),(H15))))</formula>
    </cfRule>
  </conditionalFormatting>
  <conditionalFormatting sqref="H6">
    <cfRule type="containsText" dxfId="10" priority="40" operator="containsText" text="Mycket hög">
      <formula>NOT(ISERROR(SEARCH(("Mycket hög"),(H6))))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10.67"/>
    <col customWidth="1" min="9" max="9" width="21.44"/>
    <col customWidth="1" min="10" max="14" width="10.67"/>
  </cols>
  <sheetData>
    <row r="1" ht="15.75" customHeight="1">
      <c r="H1" s="1"/>
      <c r="I1" s="1"/>
    </row>
    <row r="2" ht="33.75" customHeight="1">
      <c r="A2" s="27" t="s">
        <v>108</v>
      </c>
      <c r="H2" s="1"/>
      <c r="I2" s="1"/>
    </row>
    <row r="3" ht="15.75" customHeight="1">
      <c r="H3" s="1"/>
      <c r="I3" s="1"/>
    </row>
    <row r="4" ht="18.75" customHeight="1">
      <c r="B4" s="6" t="s">
        <v>109</v>
      </c>
      <c r="H4" s="1"/>
      <c r="I4" s="1"/>
      <c r="K4" s="6" t="s">
        <v>110</v>
      </c>
    </row>
    <row r="5" ht="15.75" customHeight="1">
      <c r="H5" s="1"/>
      <c r="I5" s="1"/>
    </row>
    <row r="6" ht="18.75" customHeight="1">
      <c r="C6" s="28" t="s">
        <v>111</v>
      </c>
      <c r="D6" s="29"/>
      <c r="E6" s="28" t="s">
        <v>112</v>
      </c>
      <c r="G6" s="28" t="s">
        <v>113</v>
      </c>
      <c r="H6" s="1"/>
      <c r="I6" s="28" t="s">
        <v>114</v>
      </c>
      <c r="J6" s="28">
        <v>4.0</v>
      </c>
      <c r="K6" s="30">
        <v>4.0</v>
      </c>
      <c r="L6" s="31">
        <v>5.0</v>
      </c>
      <c r="M6" s="32">
        <v>6.0</v>
      </c>
      <c r="N6" s="33">
        <v>7.0</v>
      </c>
    </row>
    <row r="7" ht="18.0" customHeight="1">
      <c r="A7" s="28">
        <v>4.0</v>
      </c>
      <c r="B7" s="34" t="s">
        <v>115</v>
      </c>
      <c r="C7" s="35" t="s">
        <v>116</v>
      </c>
      <c r="E7" s="35" t="s">
        <v>117</v>
      </c>
      <c r="G7" s="35" t="s">
        <v>118</v>
      </c>
      <c r="I7" s="36" t="s">
        <v>119</v>
      </c>
      <c r="J7" s="28">
        <v>3.0</v>
      </c>
      <c r="K7" s="37">
        <v>3.0</v>
      </c>
      <c r="L7" s="30">
        <v>4.0</v>
      </c>
      <c r="M7" s="31">
        <v>5.0</v>
      </c>
      <c r="N7" s="32">
        <v>6.0</v>
      </c>
    </row>
    <row r="8" ht="18.75" customHeight="1">
      <c r="A8" s="28">
        <v>3.0</v>
      </c>
      <c r="B8" s="38" t="s">
        <v>120</v>
      </c>
      <c r="C8" s="35" t="s">
        <v>121</v>
      </c>
      <c r="E8" s="35" t="s">
        <v>122</v>
      </c>
      <c r="G8" s="35" t="s">
        <v>123</v>
      </c>
      <c r="I8" s="36" t="s">
        <v>124</v>
      </c>
      <c r="J8" s="28">
        <v>2.0</v>
      </c>
      <c r="K8" s="39">
        <v>2.0</v>
      </c>
      <c r="L8" s="37">
        <v>3.0</v>
      </c>
      <c r="M8" s="30">
        <v>4.0</v>
      </c>
      <c r="N8" s="31">
        <v>5.0</v>
      </c>
    </row>
    <row r="9" ht="18.75" customHeight="1">
      <c r="A9" s="28">
        <v>2.0</v>
      </c>
      <c r="B9" s="40" t="s">
        <v>125</v>
      </c>
      <c r="C9" s="35" t="s">
        <v>126</v>
      </c>
      <c r="E9" s="35" t="s">
        <v>127</v>
      </c>
      <c r="G9" s="35" t="s">
        <v>128</v>
      </c>
      <c r="I9" s="36" t="s">
        <v>129</v>
      </c>
      <c r="J9" s="28">
        <v>1.0</v>
      </c>
      <c r="K9" s="41">
        <v>1.0</v>
      </c>
      <c r="L9" s="39">
        <v>2.0</v>
      </c>
      <c r="M9" s="37">
        <v>3.0</v>
      </c>
      <c r="N9" s="30">
        <v>4.0</v>
      </c>
    </row>
    <row r="10" ht="18.75" customHeight="1">
      <c r="A10" s="28">
        <v>1.0</v>
      </c>
      <c r="B10" s="42" t="s">
        <v>130</v>
      </c>
      <c r="C10" s="35" t="s">
        <v>131</v>
      </c>
      <c r="E10" s="35" t="s">
        <v>132</v>
      </c>
      <c r="G10" s="35" t="s">
        <v>133</v>
      </c>
      <c r="I10" s="36" t="s">
        <v>134</v>
      </c>
      <c r="K10" s="28">
        <v>1.0</v>
      </c>
      <c r="L10" s="28">
        <v>2.0</v>
      </c>
      <c r="M10" s="28">
        <v>3.0</v>
      </c>
      <c r="N10" s="28">
        <v>4.0</v>
      </c>
    </row>
    <row r="11" ht="18.75" customHeight="1">
      <c r="C11" s="6"/>
      <c r="H11" s="1"/>
      <c r="I11" s="1"/>
    </row>
    <row r="12" ht="18.75" customHeight="1">
      <c r="B12" s="6" t="s">
        <v>135</v>
      </c>
      <c r="H12" s="29"/>
      <c r="I12" s="1"/>
      <c r="K12" s="6" t="s">
        <v>108</v>
      </c>
    </row>
    <row r="13" ht="18.75" customHeight="1">
      <c r="H13" s="6"/>
      <c r="I13" s="1"/>
    </row>
    <row r="14" ht="15.75" customHeight="1">
      <c r="A14" s="28">
        <v>4.0</v>
      </c>
      <c r="B14" s="34" t="s">
        <v>136</v>
      </c>
      <c r="C14" s="43" t="s">
        <v>137</v>
      </c>
      <c r="H14" s="1"/>
      <c r="I14" s="1"/>
      <c r="K14" s="44">
        <v>7.0</v>
      </c>
    </row>
    <row r="15" ht="15.75" customHeight="1">
      <c r="A15" s="28">
        <v>3.0</v>
      </c>
      <c r="B15" s="38" t="s">
        <v>138</v>
      </c>
      <c r="C15" s="43" t="s">
        <v>139</v>
      </c>
      <c r="H15" s="1"/>
      <c r="I15" s="1"/>
      <c r="K15" s="45">
        <v>6.0</v>
      </c>
    </row>
    <row r="16" ht="15.75" customHeight="1">
      <c r="A16" s="28">
        <v>2.0</v>
      </c>
      <c r="B16" s="40" t="s">
        <v>140</v>
      </c>
      <c r="C16" s="43" t="s">
        <v>141</v>
      </c>
      <c r="H16" s="1"/>
      <c r="I16" s="1"/>
      <c r="K16" s="46">
        <v>5.0</v>
      </c>
    </row>
    <row r="17" ht="15.75" customHeight="1">
      <c r="A17" s="28">
        <v>1.0</v>
      </c>
      <c r="B17" s="42" t="s">
        <v>142</v>
      </c>
      <c r="C17" s="43" t="s">
        <v>143</v>
      </c>
      <c r="H17" s="1"/>
      <c r="I17" s="1"/>
      <c r="K17" s="47">
        <v>4.0</v>
      </c>
    </row>
    <row r="18" ht="15.75" customHeight="1">
      <c r="H18" s="1"/>
      <c r="I18" s="1"/>
      <c r="K18" s="48">
        <v>3.0</v>
      </c>
    </row>
    <row r="19" ht="15.75" customHeight="1">
      <c r="H19" s="1"/>
      <c r="I19" s="1"/>
      <c r="K19" s="49">
        <v>2.0</v>
      </c>
    </row>
    <row r="20" ht="15.75" customHeight="1">
      <c r="H20" s="1"/>
      <c r="I20" s="1"/>
      <c r="K20" s="50">
        <v>1.0</v>
      </c>
    </row>
    <row r="21" ht="15.75" customHeight="1">
      <c r="H21" s="1"/>
      <c r="I21" s="1"/>
    </row>
    <row r="22" ht="15.75" customHeight="1">
      <c r="H22" s="1"/>
      <c r="I22" s="1"/>
    </row>
    <row r="23" ht="15.75" customHeight="1">
      <c r="H23" s="1"/>
      <c r="I23" s="1"/>
    </row>
    <row r="24" ht="15.75" customHeight="1">
      <c r="H24" s="1"/>
      <c r="I24" s="1"/>
    </row>
    <row r="25" ht="15.75" customHeight="1">
      <c r="H25" s="1"/>
      <c r="I25" s="1"/>
    </row>
    <row r="26" ht="15.75" customHeight="1">
      <c r="H26" s="1"/>
      <c r="I26" s="1"/>
    </row>
    <row r="27" ht="15.75" customHeight="1">
      <c r="H27" s="1"/>
      <c r="I27" s="1"/>
    </row>
    <row r="28" ht="15.75" customHeight="1">
      <c r="H28" s="1"/>
      <c r="I28" s="1"/>
    </row>
    <row r="29" ht="15.75" customHeight="1">
      <c r="H29" s="1"/>
      <c r="I29" s="1"/>
    </row>
    <row r="30" ht="15.75" customHeight="1">
      <c r="H30" s="1"/>
      <c r="I30" s="1"/>
    </row>
    <row r="31" ht="15.75" customHeight="1">
      <c r="H31" s="1"/>
      <c r="I31" s="1"/>
    </row>
    <row r="32" ht="15.75" customHeight="1">
      <c r="H32" s="1"/>
      <c r="I32" s="1"/>
    </row>
    <row r="33" ht="15.75" customHeight="1">
      <c r="H33" s="1"/>
      <c r="I33" s="1"/>
    </row>
    <row r="34" ht="15.75" customHeight="1">
      <c r="H34" s="1"/>
      <c r="I34" s="1"/>
    </row>
    <row r="35" ht="15.75" customHeight="1">
      <c r="H35" s="1"/>
      <c r="I35" s="1"/>
    </row>
    <row r="36" ht="15.75" customHeight="1">
      <c r="H36" s="1"/>
      <c r="I36" s="1"/>
    </row>
    <row r="37" ht="15.75" customHeight="1">
      <c r="H37" s="1"/>
      <c r="I37" s="1"/>
    </row>
    <row r="38" ht="15.75" customHeight="1">
      <c r="H38" s="1"/>
      <c r="I38" s="1"/>
    </row>
    <row r="39" ht="15.75" customHeight="1">
      <c r="H39" s="1"/>
      <c r="I39" s="1"/>
    </row>
    <row r="40" ht="15.75" customHeight="1">
      <c r="H40" s="1"/>
      <c r="I40" s="1"/>
    </row>
    <row r="41" ht="15.75" customHeight="1">
      <c r="H41" s="1"/>
      <c r="I41" s="1"/>
    </row>
    <row r="42" ht="15.75" customHeight="1">
      <c r="H42" s="1"/>
      <c r="I42" s="1"/>
    </row>
    <row r="43" ht="15.75" customHeight="1">
      <c r="H43" s="1"/>
      <c r="I43" s="1"/>
    </row>
    <row r="44" ht="15.75" customHeight="1">
      <c r="H44" s="1"/>
      <c r="I44" s="1"/>
    </row>
    <row r="45" ht="15.75" customHeight="1">
      <c r="H45" s="1"/>
      <c r="I45" s="1"/>
    </row>
    <row r="46" ht="15.75" customHeight="1">
      <c r="H46" s="1"/>
      <c r="I46" s="1"/>
    </row>
    <row r="47" ht="15.75" customHeight="1">
      <c r="H47" s="1"/>
      <c r="I47" s="1"/>
    </row>
    <row r="48" ht="15.75" customHeight="1">
      <c r="H48" s="1"/>
      <c r="I48" s="1"/>
    </row>
    <row r="49" ht="15.75" customHeight="1">
      <c r="H49" s="1"/>
      <c r="I49" s="1"/>
    </row>
    <row r="50" ht="15.75" customHeight="1">
      <c r="H50" s="1"/>
      <c r="I50" s="1"/>
    </row>
    <row r="51" ht="15.75" customHeight="1">
      <c r="H51" s="1"/>
      <c r="I51" s="1"/>
    </row>
    <row r="52" ht="15.75" customHeight="1">
      <c r="H52" s="1"/>
      <c r="I52" s="1"/>
    </row>
    <row r="53" ht="15.75" customHeight="1">
      <c r="H53" s="1"/>
      <c r="I53" s="1"/>
    </row>
    <row r="54" ht="15.75" customHeight="1">
      <c r="H54" s="1"/>
      <c r="I54" s="1"/>
    </row>
    <row r="55" ht="15.75" customHeight="1">
      <c r="H55" s="1"/>
      <c r="I55" s="1"/>
    </row>
    <row r="56" ht="15.75" customHeight="1">
      <c r="H56" s="1"/>
      <c r="I56" s="1"/>
    </row>
    <row r="57" ht="15.75" customHeight="1">
      <c r="H57" s="1"/>
      <c r="I57" s="1"/>
    </row>
    <row r="58" ht="15.75" customHeight="1">
      <c r="H58" s="1"/>
      <c r="I58" s="1"/>
    </row>
    <row r="59" ht="15.75" customHeight="1">
      <c r="H59" s="1"/>
      <c r="I59" s="1"/>
    </row>
    <row r="60" ht="15.75" customHeight="1">
      <c r="H60" s="1"/>
      <c r="I60" s="1"/>
    </row>
    <row r="61" ht="15.75" customHeight="1">
      <c r="H61" s="1"/>
      <c r="I61" s="1"/>
    </row>
    <row r="62" ht="15.75" customHeight="1">
      <c r="H62" s="1"/>
      <c r="I62" s="1"/>
    </row>
    <row r="63" ht="15.75" customHeight="1">
      <c r="H63" s="1"/>
      <c r="I63" s="1"/>
    </row>
    <row r="64" ht="15.75" customHeight="1">
      <c r="H64" s="1"/>
      <c r="I64" s="1"/>
    </row>
    <row r="65" ht="15.75" customHeight="1">
      <c r="H65" s="1"/>
      <c r="I65" s="1"/>
    </row>
    <row r="66" ht="15.75" customHeight="1">
      <c r="H66" s="1"/>
      <c r="I66" s="1"/>
    </row>
    <row r="67" ht="15.75" customHeight="1">
      <c r="H67" s="1"/>
      <c r="I67" s="1"/>
    </row>
    <row r="68" ht="15.75" customHeight="1">
      <c r="H68" s="1"/>
      <c r="I68" s="1"/>
    </row>
    <row r="69" ht="15.75" customHeight="1">
      <c r="H69" s="1"/>
      <c r="I69" s="1"/>
    </row>
    <row r="70" ht="15.75" customHeight="1">
      <c r="H70" s="1"/>
      <c r="I70" s="1"/>
    </row>
    <row r="71" ht="15.75" customHeight="1">
      <c r="H71" s="1"/>
      <c r="I71" s="1"/>
    </row>
    <row r="72" ht="15.75" customHeight="1">
      <c r="H72" s="1"/>
      <c r="I72" s="1"/>
    </row>
    <row r="73" ht="15.75" customHeight="1">
      <c r="H73" s="1"/>
      <c r="I73" s="1"/>
    </row>
    <row r="74" ht="15.75" customHeight="1">
      <c r="H74" s="1"/>
      <c r="I74" s="1"/>
    </row>
    <row r="75" ht="15.75" customHeight="1">
      <c r="H75" s="1"/>
      <c r="I75" s="1"/>
    </row>
    <row r="76" ht="15.75" customHeight="1">
      <c r="H76" s="1"/>
      <c r="I76" s="1"/>
    </row>
    <row r="77" ht="15.75" customHeight="1">
      <c r="H77" s="1"/>
      <c r="I77" s="1"/>
    </row>
    <row r="78" ht="15.75" customHeight="1">
      <c r="H78" s="1"/>
      <c r="I78" s="1"/>
    </row>
    <row r="79" ht="15.75" customHeight="1">
      <c r="H79" s="1"/>
      <c r="I79" s="1"/>
    </row>
    <row r="80" ht="15.75" customHeight="1">
      <c r="H80" s="1"/>
      <c r="I80" s="1"/>
    </row>
    <row r="81" ht="15.75" customHeight="1">
      <c r="H81" s="1"/>
      <c r="I81" s="1"/>
    </row>
    <row r="82" ht="15.75" customHeight="1">
      <c r="H82" s="1"/>
      <c r="I82" s="1"/>
    </row>
    <row r="83" ht="15.75" customHeight="1">
      <c r="H83" s="1"/>
      <c r="I83" s="1"/>
    </row>
    <row r="84" ht="15.75" customHeight="1">
      <c r="H84" s="1"/>
      <c r="I84" s="1"/>
    </row>
    <row r="85" ht="15.75" customHeight="1">
      <c r="H85" s="1"/>
      <c r="I85" s="1"/>
    </row>
    <row r="86" ht="15.75" customHeight="1">
      <c r="H86" s="1"/>
      <c r="I86" s="1"/>
    </row>
    <row r="87" ht="15.75" customHeight="1">
      <c r="H87" s="1"/>
      <c r="I87" s="1"/>
    </row>
    <row r="88" ht="15.75" customHeight="1">
      <c r="H88" s="1"/>
      <c r="I88" s="1"/>
    </row>
    <row r="89" ht="15.75" customHeight="1">
      <c r="H89" s="1"/>
      <c r="I89" s="1"/>
    </row>
    <row r="90" ht="15.75" customHeight="1">
      <c r="H90" s="1"/>
      <c r="I90" s="1"/>
    </row>
    <row r="91" ht="15.75" customHeight="1">
      <c r="H91" s="1"/>
      <c r="I91" s="1"/>
    </row>
    <row r="92" ht="15.75" customHeight="1">
      <c r="H92" s="1"/>
      <c r="I92" s="1"/>
    </row>
    <row r="93" ht="15.75" customHeight="1">
      <c r="H93" s="1"/>
      <c r="I93" s="1"/>
    </row>
    <row r="94" ht="15.75" customHeight="1">
      <c r="H94" s="1"/>
      <c r="I94" s="1"/>
    </row>
    <row r="95" ht="15.75" customHeight="1">
      <c r="H95" s="1"/>
      <c r="I95" s="1"/>
    </row>
    <row r="96" ht="15.75" customHeight="1">
      <c r="H96" s="1"/>
      <c r="I96" s="1"/>
    </row>
    <row r="97" ht="15.75" customHeight="1">
      <c r="H97" s="1"/>
      <c r="I97" s="1"/>
    </row>
    <row r="98" ht="15.75" customHeight="1">
      <c r="H98" s="1"/>
      <c r="I98" s="1"/>
    </row>
    <row r="99" ht="15.75" customHeight="1">
      <c r="H99" s="1"/>
      <c r="I99" s="1"/>
    </row>
    <row r="100" ht="15.75" customHeight="1">
      <c r="H100" s="1"/>
      <c r="I100" s="1"/>
    </row>
    <row r="101" ht="15.75" customHeight="1">
      <c r="H101" s="1"/>
      <c r="I101" s="1"/>
    </row>
    <row r="102" ht="15.75" customHeight="1">
      <c r="H102" s="1"/>
      <c r="I102" s="1"/>
    </row>
    <row r="103" ht="15.75" customHeight="1">
      <c r="H103" s="1"/>
      <c r="I103" s="1"/>
    </row>
    <row r="104" ht="15.75" customHeight="1">
      <c r="H104" s="1"/>
      <c r="I104" s="1"/>
    </row>
    <row r="105" ht="15.75" customHeight="1">
      <c r="H105" s="1"/>
      <c r="I105" s="1"/>
    </row>
    <row r="106" ht="15.75" customHeight="1">
      <c r="H106" s="1"/>
      <c r="I106" s="1"/>
    </row>
    <row r="107" ht="15.75" customHeight="1">
      <c r="H107" s="1"/>
      <c r="I107" s="1"/>
    </row>
    <row r="108" ht="15.75" customHeight="1">
      <c r="H108" s="1"/>
      <c r="I108" s="1"/>
    </row>
    <row r="109" ht="15.75" customHeight="1">
      <c r="H109" s="1"/>
      <c r="I109" s="1"/>
    </row>
    <row r="110" ht="15.75" customHeight="1">
      <c r="H110" s="1"/>
      <c r="I110" s="1"/>
    </row>
    <row r="111" ht="15.75" customHeight="1">
      <c r="H111" s="1"/>
      <c r="I111" s="1"/>
    </row>
    <row r="112" ht="15.75" customHeight="1">
      <c r="H112" s="1"/>
      <c r="I112" s="1"/>
    </row>
    <row r="113" ht="15.75" customHeight="1">
      <c r="H113" s="1"/>
      <c r="I113" s="1"/>
    </row>
    <row r="114" ht="15.75" customHeight="1">
      <c r="H114" s="1"/>
      <c r="I114" s="1"/>
    </row>
    <row r="115" ht="15.75" customHeight="1">
      <c r="H115" s="1"/>
      <c r="I115" s="1"/>
    </row>
    <row r="116" ht="15.75" customHeight="1">
      <c r="H116" s="1"/>
      <c r="I116" s="1"/>
    </row>
    <row r="117" ht="15.75" customHeight="1">
      <c r="H117" s="1"/>
      <c r="I117" s="1"/>
    </row>
    <row r="118" ht="15.75" customHeight="1">
      <c r="H118" s="1"/>
      <c r="I118" s="1"/>
    </row>
    <row r="119" ht="15.75" customHeight="1">
      <c r="H119" s="1"/>
      <c r="I119" s="1"/>
    </row>
    <row r="120" ht="15.75" customHeight="1">
      <c r="H120" s="1"/>
      <c r="I120" s="1"/>
    </row>
    <row r="121" ht="15.75" customHeight="1">
      <c r="H121" s="1"/>
      <c r="I121" s="1"/>
    </row>
    <row r="122" ht="15.75" customHeight="1">
      <c r="H122" s="1"/>
      <c r="I122" s="1"/>
    </row>
    <row r="123" ht="15.75" customHeight="1">
      <c r="H123" s="1"/>
      <c r="I123" s="1"/>
    </row>
    <row r="124" ht="15.75" customHeight="1">
      <c r="H124" s="1"/>
      <c r="I124" s="1"/>
    </row>
    <row r="125" ht="15.75" customHeight="1">
      <c r="H125" s="1"/>
      <c r="I125" s="1"/>
    </row>
    <row r="126" ht="15.75" customHeight="1">
      <c r="H126" s="1"/>
      <c r="I126" s="1"/>
    </row>
    <row r="127" ht="15.75" customHeight="1">
      <c r="H127" s="1"/>
      <c r="I127" s="1"/>
    </row>
    <row r="128" ht="15.75" customHeight="1">
      <c r="H128" s="1"/>
      <c r="I128" s="1"/>
    </row>
    <row r="129" ht="15.75" customHeight="1">
      <c r="H129" s="1"/>
      <c r="I129" s="1"/>
    </row>
    <row r="130" ht="15.75" customHeight="1">
      <c r="H130" s="1"/>
      <c r="I130" s="1"/>
    </row>
    <row r="131" ht="15.75" customHeight="1">
      <c r="H131" s="1"/>
      <c r="I131" s="1"/>
    </row>
    <row r="132" ht="15.75" customHeight="1">
      <c r="H132" s="1"/>
      <c r="I132" s="1"/>
    </row>
    <row r="133" ht="15.75" customHeight="1">
      <c r="H133" s="1"/>
      <c r="I133" s="1"/>
    </row>
    <row r="134" ht="15.75" customHeight="1">
      <c r="H134" s="1"/>
      <c r="I134" s="1"/>
    </row>
    <row r="135" ht="15.75" customHeight="1">
      <c r="H135" s="1"/>
      <c r="I135" s="1"/>
    </row>
    <row r="136" ht="15.75" customHeight="1">
      <c r="H136" s="1"/>
      <c r="I136" s="1"/>
    </row>
    <row r="137" ht="15.75" customHeight="1">
      <c r="H137" s="1"/>
      <c r="I137" s="1"/>
    </row>
    <row r="138" ht="15.75" customHeight="1">
      <c r="H138" s="1"/>
      <c r="I138" s="1"/>
    </row>
    <row r="139" ht="15.75" customHeight="1">
      <c r="H139" s="1"/>
      <c r="I139" s="1"/>
    </row>
    <row r="140" ht="15.75" customHeight="1">
      <c r="H140" s="1"/>
      <c r="I140" s="1"/>
    </row>
    <row r="141" ht="15.75" customHeight="1">
      <c r="H141" s="1"/>
      <c r="I141" s="1"/>
    </row>
    <row r="142" ht="15.75" customHeight="1">
      <c r="H142" s="1"/>
      <c r="I142" s="1"/>
    </row>
    <row r="143" ht="15.75" customHeight="1">
      <c r="H143" s="1"/>
      <c r="I143" s="1"/>
    </row>
    <row r="144" ht="15.75" customHeight="1">
      <c r="H144" s="1"/>
      <c r="I144" s="1"/>
    </row>
    <row r="145" ht="15.75" customHeight="1">
      <c r="H145" s="1"/>
      <c r="I145" s="1"/>
    </row>
    <row r="146" ht="15.75" customHeight="1">
      <c r="H146" s="1"/>
      <c r="I146" s="1"/>
    </row>
    <row r="147" ht="15.75" customHeight="1">
      <c r="H147" s="1"/>
      <c r="I147" s="1"/>
    </row>
    <row r="148" ht="15.75" customHeight="1">
      <c r="H148" s="1"/>
      <c r="I148" s="1"/>
    </row>
    <row r="149" ht="15.75" customHeight="1">
      <c r="H149" s="1"/>
      <c r="I149" s="1"/>
    </row>
    <row r="150" ht="15.75" customHeight="1">
      <c r="H150" s="1"/>
      <c r="I150" s="1"/>
    </row>
    <row r="151" ht="15.75" customHeight="1">
      <c r="H151" s="1"/>
      <c r="I151" s="1"/>
    </row>
    <row r="152" ht="15.75" customHeight="1">
      <c r="H152" s="1"/>
      <c r="I152" s="1"/>
    </row>
    <row r="153" ht="15.75" customHeight="1">
      <c r="H153" s="1"/>
      <c r="I153" s="1"/>
    </row>
    <row r="154" ht="15.75" customHeight="1">
      <c r="H154" s="1"/>
      <c r="I154" s="1"/>
    </row>
    <row r="155" ht="15.75" customHeight="1">
      <c r="H155" s="1"/>
      <c r="I155" s="1"/>
    </row>
    <row r="156" ht="15.75" customHeight="1">
      <c r="H156" s="1"/>
      <c r="I156" s="1"/>
    </row>
    <row r="157" ht="15.75" customHeight="1">
      <c r="H157" s="1"/>
      <c r="I157" s="1"/>
    </row>
    <row r="158" ht="15.75" customHeight="1">
      <c r="H158" s="1"/>
      <c r="I158" s="1"/>
    </row>
    <row r="159" ht="15.75" customHeight="1">
      <c r="H159" s="1"/>
      <c r="I159" s="1"/>
    </row>
    <row r="160" ht="15.75" customHeight="1">
      <c r="H160" s="1"/>
      <c r="I160" s="1"/>
    </row>
    <row r="161" ht="15.75" customHeight="1">
      <c r="H161" s="1"/>
      <c r="I161" s="1"/>
    </row>
    <row r="162" ht="15.75" customHeight="1">
      <c r="H162" s="1"/>
      <c r="I162" s="1"/>
    </row>
    <row r="163" ht="15.75" customHeight="1">
      <c r="H163" s="1"/>
      <c r="I163" s="1"/>
    </row>
    <row r="164" ht="15.75" customHeight="1">
      <c r="H164" s="1"/>
      <c r="I164" s="1"/>
    </row>
    <row r="165" ht="15.75" customHeight="1">
      <c r="H165" s="1"/>
      <c r="I165" s="1"/>
    </row>
    <row r="166" ht="15.75" customHeight="1">
      <c r="H166" s="1"/>
      <c r="I166" s="1"/>
    </row>
    <row r="167" ht="15.75" customHeight="1">
      <c r="H167" s="1"/>
      <c r="I167" s="1"/>
    </row>
    <row r="168" ht="15.75" customHeight="1">
      <c r="H168" s="1"/>
      <c r="I168" s="1"/>
    </row>
    <row r="169" ht="15.75" customHeight="1">
      <c r="H169" s="1"/>
      <c r="I169" s="1"/>
    </row>
    <row r="170" ht="15.75" customHeight="1">
      <c r="H170" s="1"/>
      <c r="I170" s="1"/>
    </row>
    <row r="171" ht="15.75" customHeight="1">
      <c r="H171" s="1"/>
      <c r="I171" s="1"/>
    </row>
    <row r="172" ht="15.75" customHeight="1">
      <c r="H172" s="1"/>
      <c r="I172" s="1"/>
    </row>
    <row r="173" ht="15.75" customHeight="1">
      <c r="H173" s="1"/>
      <c r="I173" s="1"/>
    </row>
    <row r="174" ht="15.75" customHeight="1">
      <c r="H174" s="1"/>
      <c r="I174" s="1"/>
    </row>
    <row r="175" ht="15.75" customHeight="1">
      <c r="H175" s="1"/>
      <c r="I175" s="1"/>
    </row>
    <row r="176" ht="15.75" customHeight="1">
      <c r="H176" s="1"/>
      <c r="I176" s="1"/>
    </row>
    <row r="177" ht="15.75" customHeight="1">
      <c r="H177" s="1"/>
      <c r="I177" s="1"/>
    </row>
    <row r="178" ht="15.75" customHeight="1">
      <c r="H178" s="1"/>
      <c r="I178" s="1"/>
    </row>
    <row r="179" ht="15.75" customHeight="1">
      <c r="H179" s="1"/>
      <c r="I179" s="1"/>
    </row>
    <row r="180" ht="15.75" customHeight="1">
      <c r="H180" s="1"/>
      <c r="I180" s="1"/>
    </row>
    <row r="181" ht="15.75" customHeight="1">
      <c r="H181" s="1"/>
      <c r="I181" s="1"/>
    </row>
    <row r="182" ht="15.75" customHeight="1">
      <c r="H182" s="1"/>
      <c r="I182" s="1"/>
    </row>
    <row r="183" ht="15.75" customHeight="1">
      <c r="H183" s="1"/>
      <c r="I183" s="1"/>
    </row>
    <row r="184" ht="15.75" customHeight="1">
      <c r="H184" s="1"/>
      <c r="I184" s="1"/>
    </row>
    <row r="185" ht="15.75" customHeight="1">
      <c r="H185" s="1"/>
      <c r="I185" s="1"/>
    </row>
    <row r="186" ht="15.75" customHeight="1">
      <c r="H186" s="1"/>
      <c r="I186" s="1"/>
    </row>
    <row r="187" ht="15.75" customHeight="1">
      <c r="H187" s="1"/>
      <c r="I187" s="1"/>
    </row>
    <row r="188" ht="15.75" customHeight="1">
      <c r="H188" s="1"/>
      <c r="I188" s="1"/>
    </row>
    <row r="189" ht="15.75" customHeight="1">
      <c r="H189" s="1"/>
      <c r="I189" s="1"/>
    </row>
    <row r="190" ht="15.75" customHeight="1">
      <c r="H190" s="1"/>
      <c r="I190" s="1"/>
    </row>
    <row r="191" ht="15.75" customHeight="1">
      <c r="H191" s="1"/>
      <c r="I191" s="1"/>
    </row>
    <row r="192" ht="15.75" customHeight="1">
      <c r="H192" s="1"/>
      <c r="I192" s="1"/>
    </row>
    <row r="193" ht="15.75" customHeight="1">
      <c r="H193" s="1"/>
      <c r="I193" s="1"/>
    </row>
    <row r="194" ht="15.75" customHeight="1">
      <c r="H194" s="1"/>
      <c r="I194" s="1"/>
    </row>
    <row r="195" ht="15.75" customHeight="1">
      <c r="H195" s="1"/>
      <c r="I195" s="1"/>
    </row>
    <row r="196" ht="15.75" customHeight="1">
      <c r="H196" s="1"/>
      <c r="I196" s="1"/>
    </row>
    <row r="197" ht="15.75" customHeight="1">
      <c r="H197" s="1"/>
      <c r="I197" s="1"/>
    </row>
    <row r="198" ht="15.75" customHeight="1">
      <c r="H198" s="1"/>
      <c r="I198" s="1"/>
    </row>
    <row r="199" ht="15.75" customHeight="1">
      <c r="H199" s="1"/>
      <c r="I199" s="1"/>
    </row>
    <row r="200" ht="15.75" customHeight="1">
      <c r="H200" s="1"/>
      <c r="I200" s="1"/>
    </row>
    <row r="201" ht="15.75" customHeight="1">
      <c r="H201" s="1"/>
      <c r="I201" s="1"/>
    </row>
    <row r="202" ht="15.75" customHeight="1">
      <c r="H202" s="1"/>
      <c r="I202" s="1"/>
    </row>
    <row r="203" ht="15.75" customHeight="1">
      <c r="H203" s="1"/>
      <c r="I203" s="1"/>
    </row>
    <row r="204" ht="15.75" customHeight="1">
      <c r="H204" s="1"/>
      <c r="I204" s="1"/>
    </row>
    <row r="205" ht="15.75" customHeight="1">
      <c r="H205" s="1"/>
      <c r="I205" s="1"/>
    </row>
    <row r="206" ht="15.75" customHeight="1">
      <c r="H206" s="1"/>
      <c r="I206" s="1"/>
    </row>
    <row r="207" ht="15.75" customHeight="1">
      <c r="H207" s="1"/>
      <c r="I207" s="1"/>
    </row>
    <row r="208" ht="15.75" customHeight="1">
      <c r="H208" s="1"/>
      <c r="I208" s="1"/>
    </row>
    <row r="209" ht="15.75" customHeight="1">
      <c r="H209" s="1"/>
      <c r="I209" s="1"/>
    </row>
    <row r="210" ht="15.75" customHeight="1">
      <c r="H210" s="1"/>
      <c r="I210" s="1"/>
    </row>
    <row r="211" ht="15.75" customHeight="1">
      <c r="H211" s="1"/>
      <c r="I211" s="1"/>
    </row>
    <row r="212" ht="15.75" customHeight="1">
      <c r="H212" s="1"/>
      <c r="I212" s="1"/>
    </row>
    <row r="213" ht="15.75" customHeight="1">
      <c r="H213" s="1"/>
      <c r="I213" s="1"/>
    </row>
    <row r="214" ht="15.75" customHeight="1">
      <c r="H214" s="1"/>
      <c r="I214" s="1"/>
    </row>
    <row r="215" ht="15.75" customHeight="1">
      <c r="H215" s="1"/>
      <c r="I215" s="1"/>
    </row>
    <row r="216" ht="15.75" customHeight="1">
      <c r="H216" s="1"/>
      <c r="I216" s="1"/>
    </row>
    <row r="217" ht="15.75" customHeight="1">
      <c r="H217" s="1"/>
      <c r="I217" s="1"/>
    </row>
    <row r="218" ht="15.75" customHeight="1">
      <c r="H218" s="1"/>
      <c r="I218" s="1"/>
    </row>
    <row r="219" ht="15.75" customHeight="1">
      <c r="H219" s="1"/>
      <c r="I219" s="1"/>
    </row>
    <row r="220" ht="15.75" customHeight="1">
      <c r="H220" s="1"/>
      <c r="I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9:F9"/>
    <mergeCell ref="G9:H9"/>
    <mergeCell ref="C10:D10"/>
    <mergeCell ref="E10:F10"/>
    <mergeCell ref="G10:H10"/>
    <mergeCell ref="C14:D14"/>
    <mergeCell ref="C15:D15"/>
    <mergeCell ref="C16:D16"/>
    <mergeCell ref="C17:D17"/>
    <mergeCell ref="C7:D7"/>
    <mergeCell ref="E7:F7"/>
    <mergeCell ref="G7:H7"/>
    <mergeCell ref="C8:D8"/>
    <mergeCell ref="E8:F8"/>
    <mergeCell ref="G8:H8"/>
    <mergeCell ref="C9:D9"/>
  </mergeCells>
  <conditionalFormatting sqref="B14">
    <cfRule type="containsText" dxfId="15" priority="1" operator="containsText" text="Ja">
      <formula>NOT(ISERROR(SEARCH(("Ja"),(B14))))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2.78"/>
    <col customWidth="1" min="3" max="3" width="5.0"/>
    <col customWidth="1" min="4" max="4" width="17.11"/>
    <col customWidth="1" min="5" max="5" width="4.67"/>
    <col customWidth="1" min="6" max="6" width="17.0"/>
    <col customWidth="1" min="7" max="7" width="3.11"/>
    <col customWidth="1" min="8" max="8" width="10.78"/>
    <col customWidth="1" min="9" max="9" width="3.33"/>
    <col customWidth="1" min="10" max="26" width="10.78"/>
  </cols>
  <sheetData>
    <row r="1" ht="18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6"/>
      <c r="B2" s="29" t="s">
        <v>144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8.0" customHeight="1">
      <c r="A4" s="6"/>
      <c r="B4" s="29"/>
      <c r="C4" s="29"/>
      <c r="D4" s="29" t="s">
        <v>5</v>
      </c>
      <c r="E4" s="29"/>
      <c r="F4" s="29" t="s">
        <v>6</v>
      </c>
      <c r="G4" s="6"/>
      <c r="H4" s="29"/>
      <c r="I4" s="6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6"/>
      <c r="B5" s="6"/>
      <c r="C5" s="6">
        <v>1.0</v>
      </c>
      <c r="D5" s="6" t="s">
        <v>142</v>
      </c>
      <c r="E5" s="6">
        <v>1.0</v>
      </c>
      <c r="F5" s="6" t="s">
        <v>130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6"/>
      <c r="B6" s="6"/>
      <c r="C6" s="6">
        <v>2.0</v>
      </c>
      <c r="D6" s="6" t="s">
        <v>140</v>
      </c>
      <c r="E6" s="6">
        <v>2.0</v>
      </c>
      <c r="F6" s="6" t="s">
        <v>125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6"/>
      <c r="B7" s="6"/>
      <c r="C7" s="6">
        <v>3.0</v>
      </c>
      <c r="D7" s="6" t="s">
        <v>138</v>
      </c>
      <c r="E7" s="6">
        <v>3.0</v>
      </c>
      <c r="F7" s="6" t="s">
        <v>145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6"/>
      <c r="B8" s="6"/>
      <c r="C8" s="6">
        <v>4.0</v>
      </c>
      <c r="D8" s="6" t="s">
        <v>136</v>
      </c>
      <c r="E8" s="6">
        <v>4.0</v>
      </c>
      <c r="F8" s="6" t="s">
        <v>115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6"/>
      <c r="B22" s="6"/>
      <c r="C22" s="6"/>
      <c r="D22" s="6"/>
      <c r="E22" s="6"/>
      <c r="F22" s="29"/>
      <c r="G22" s="6"/>
      <c r="H22" s="29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6">
    <cfRule type="containsText" dxfId="15" priority="1" operator="containsText" text="Ja">
      <formula>NOT(ISERROR(SEARCH(("Ja"),(B6))))</formula>
    </cfRule>
  </conditionalFormatting>
  <conditionalFormatting sqref="F24">
    <cfRule type="containsText" dxfId="15" priority="2" operator="containsText" text="Ja">
      <formula>NOT(ISERROR(SEARCH(("Ja"),(F24))))</formula>
    </cfRule>
  </conditionalFormatting>
  <printOptions/>
  <pageMargins bottom="0.75" footer="0.0" header="0.0" left="0.7" right="0.7" top="0.75"/>
  <pageSetup paperSize="9" orientation="portrait"/>
  <drawing r:id="rId1"/>
</worksheet>
</file>